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nortier\Downloads\"/>
    </mc:Choice>
  </mc:AlternateContent>
  <xr:revisionPtr revIDLastSave="0" documentId="13_ncr:1_{6A020DD5-6EF2-4A18-8D0C-61F939326C00}" xr6:coauthVersionLast="47" xr6:coauthVersionMax="47" xr10:uidLastSave="{00000000-0000-0000-0000-000000000000}"/>
  <bookViews>
    <workbookView xWindow="-28920" yWindow="-120" windowWidth="29040" windowHeight="15840" xr2:uid="{8B9BA64D-9E33-47DB-B565-64F1DFD8655A}"/>
  </bookViews>
  <sheets>
    <sheet name="Project" sheetId="1" r:id="rId1"/>
    <sheet name="History_Scrabblid" sheetId="2" r:id="rId2"/>
    <sheet name="Tableau" sheetId="41" r:id="rId3"/>
  </sheets>
  <calcPr calcId="191029"/>
  <pivotCaches>
    <pivotCache cacheId="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6" i="1" l="1"/>
  <c r="K34" i="1"/>
  <c r="K35" i="1"/>
  <c r="K36" i="1"/>
  <c r="K38" i="1"/>
  <c r="K39" i="1"/>
  <c r="K40" i="1"/>
  <c r="K41" i="1"/>
  <c r="K42" i="1"/>
  <c r="K43" i="1"/>
  <c r="K45" i="1"/>
  <c r="K46" i="1"/>
  <c r="K47" i="1"/>
  <c r="K27" i="1"/>
  <c r="K28" i="1"/>
  <c r="K29" i="1"/>
  <c r="K30" i="1"/>
  <c r="K31" i="1"/>
  <c r="K32" i="1"/>
  <c r="K26" i="1"/>
  <c r="F46" i="1"/>
  <c r="D54" i="1"/>
  <c r="E27" i="1"/>
  <c r="E29" i="1"/>
  <c r="G47" i="1"/>
  <c r="G38" i="1"/>
  <c r="G28" i="1"/>
  <c r="G46" i="1"/>
  <c r="G36" i="1"/>
  <c r="G27" i="1"/>
  <c r="G39" i="1"/>
  <c r="G45" i="1"/>
  <c r="G35" i="1"/>
  <c r="G26" i="1"/>
  <c r="G43" i="1"/>
  <c r="G34" i="1"/>
  <c r="G31" i="1"/>
  <c r="G42" i="1"/>
  <c r="G32" i="1"/>
  <c r="G41" i="1"/>
  <c r="G40" i="1"/>
  <c r="G30" i="1"/>
  <c r="G29" i="1"/>
  <c r="H30" i="1" l="1"/>
  <c r="I30" i="1"/>
  <c r="G51" i="1"/>
  <c r="H45" i="1"/>
  <c r="E45" i="1"/>
  <c r="I38" i="1"/>
  <c r="H38" i="1"/>
  <c r="E36" i="1"/>
  <c r="F36" i="1" s="1"/>
  <c r="H36" i="1" s="1"/>
  <c r="E31" i="1"/>
  <c r="F31" i="1" s="1"/>
  <c r="I47" i="1"/>
  <c r="H47" i="1"/>
  <c r="H39" i="1"/>
  <c r="E35" i="1"/>
  <c r="F35" i="1" s="1"/>
  <c r="H35" i="1" s="1"/>
  <c r="E47" i="1"/>
  <c r="H41" i="1"/>
  <c r="E34" i="1"/>
  <c r="I32" i="1"/>
  <c r="I46" i="1"/>
  <c r="I50" i="1"/>
  <c r="F50" i="1"/>
  <c r="H50" i="1" s="1"/>
  <c r="F49" i="1"/>
  <c r="I49" i="1" s="1"/>
  <c r="I48" i="1"/>
  <c r="F48" i="1"/>
  <c r="I37" i="1"/>
  <c r="F37" i="1"/>
  <c r="H37" i="1" s="1"/>
  <c r="I33" i="1"/>
  <c r="F29" i="1"/>
  <c r="H29" i="1" s="1"/>
  <c r="E28" i="1"/>
  <c r="F28" i="1" s="1"/>
  <c r="I28" i="1" s="1"/>
  <c r="F27" i="1"/>
  <c r="E26" i="1"/>
  <c r="I25" i="1"/>
  <c r="F25" i="1"/>
  <c r="D7" i="1"/>
  <c r="I27" i="1" l="1"/>
  <c r="H46" i="1"/>
  <c r="I36" i="1"/>
  <c r="I45" i="1"/>
  <c r="I35" i="1"/>
  <c r="I29" i="1"/>
  <c r="I41" i="1"/>
  <c r="I39" i="1"/>
  <c r="H31" i="1"/>
  <c r="I34" i="1"/>
  <c r="I43" i="1"/>
  <c r="I31" i="1"/>
  <c r="H32" i="1"/>
  <c r="H43" i="1"/>
  <c r="H27" i="1"/>
  <c r="F26" i="1"/>
  <c r="H48" i="1"/>
  <c r="H25" i="1"/>
  <c r="H49" i="1"/>
  <c r="H28" i="1"/>
  <c r="H42" i="1" l="1"/>
  <c r="I42" i="1"/>
  <c r="I40" i="1"/>
  <c r="H40" i="1"/>
  <c r="H34" i="1"/>
  <c r="I26" i="1"/>
  <c r="H26" i="1"/>
  <c r="F51" i="1"/>
  <c r="E51" i="1"/>
  <c r="J26" i="1" l="1"/>
  <c r="J30" i="1"/>
  <c r="H51" i="1"/>
  <c r="I51" i="1" s="1"/>
  <c r="J47" i="1"/>
  <c r="J39" i="1"/>
  <c r="J40" i="1"/>
  <c r="J38" i="1"/>
  <c r="J36" i="1"/>
  <c r="J27" i="1"/>
  <c r="J45" i="1"/>
  <c r="K51" i="1"/>
  <c r="J32" i="1"/>
  <c r="J35" i="1"/>
  <c r="J31" i="1"/>
  <c r="J34" i="1"/>
  <c r="J46" i="1"/>
  <c r="J29" i="1"/>
  <c r="J41" i="1"/>
  <c r="J42" i="1"/>
  <c r="J28" i="1"/>
  <c r="J43" i="1"/>
  <c r="J51" i="1" l="1"/>
  <c r="D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NORTIER Hugo</author>
    <author/>
  </authors>
  <commentList>
    <comment ref="K23" authorId="0" shapeId="0" xr:uid="{D8B9BE44-4353-4F21-960F-5DF7C5797A8F}">
      <text>
        <r>
          <rPr>
            <b/>
            <sz val="9"/>
            <color indexed="81"/>
            <rFont val="Tahoma"/>
            <family val="2"/>
          </rPr>
          <t>NORTIER Hugo:</t>
        </r>
        <r>
          <rPr>
            <sz val="9"/>
            <color indexed="81"/>
            <rFont val="Tahoma"/>
            <family val="2"/>
          </rPr>
          <t xml:space="preserve">
si l'actual workload diffère de l'initial workload, alors par ce calcul nous voyons de combien il diffère.
Le but étant que le total reste &gt;=0 signifiant que nous n'avons pas dépassé le temps disponible</t>
        </r>
      </text>
    </comment>
    <comment ref="E26" authorId="1" shapeId="0" xr:uid="{00000000-0006-0000-0000-000001000000}">
      <text>
        <r>
          <rPr>
            <sz val="10"/>
            <color theme="1"/>
            <rFont val="Arial"/>
            <family val="2"/>
          </rPr>
          <t>4 * 1,5h = 0,8j
* nb members</t>
        </r>
      </text>
    </comment>
    <comment ref="E27" authorId="1" shapeId="0" xr:uid="{00000000-0006-0000-0000-000002000000}">
      <text>
        <r>
          <rPr>
            <sz val="10"/>
            <color theme="1"/>
            <rFont val="Arial"/>
            <family val="2"/>
          </rPr>
          <t>6 * 2h = 1,6j
* nb members</t>
        </r>
      </text>
    </comment>
    <comment ref="E28" authorId="1" shapeId="0" xr:uid="{00000000-0006-0000-0000-000003000000}">
      <text>
        <r>
          <rPr>
            <sz val="10"/>
            <color theme="1"/>
            <rFont val="Arial"/>
            <family val="2"/>
          </rPr>
          <t>2 * 1,5h = 0,4j
* nb members</t>
        </r>
      </text>
    </comment>
    <comment ref="E29" authorId="1" shapeId="0" xr:uid="{00000000-0006-0000-0000-000004000000}">
      <text>
        <r>
          <rPr>
            <sz val="10"/>
            <color rgb="FF000000"/>
            <rFont val="Arial"/>
            <family val="2"/>
          </rPr>
          <t xml:space="preserve">4 * 2h = 1j
</t>
        </r>
        <r>
          <rPr>
            <sz val="10"/>
            <color rgb="FF000000"/>
            <rFont val="Arial"/>
            <family val="2"/>
          </rPr>
          <t>* nb members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4" authorId="0" shapeId="0" xr:uid="{00000000-0006-0000-0100-000001000000}">
      <text>
        <r>
          <rPr>
            <sz val="10"/>
            <color theme="1"/>
            <rFont val="Arial"/>
            <family val="2"/>
          </rPr>
          <t>Add something only if related task remaining work has changed</t>
        </r>
      </text>
    </comment>
  </commentList>
</comments>
</file>

<file path=xl/sharedStrings.xml><?xml version="1.0" encoding="utf-8"?>
<sst xmlns="http://schemas.openxmlformats.org/spreadsheetml/2006/main" count="908" uniqueCount="175">
  <si>
    <t>Project information</t>
  </si>
  <si>
    <t>Group name</t>
  </si>
  <si>
    <t>Time unit</t>
  </si>
  <si>
    <t>Days</t>
  </si>
  <si>
    <t>Duration</t>
  </si>
  <si>
    <t>Duration in working days</t>
  </si>
  <si>
    <t>Total workload</t>
  </si>
  <si>
    <t>Team members</t>
  </si>
  <si>
    <t>Id</t>
  </si>
  <si>
    <t>Name</t>
  </si>
  <si>
    <t>Number</t>
  </si>
  <si>
    <t>Project tasks</t>
  </si>
  <si>
    <t>Description</t>
  </si>
  <si>
    <t>Initial
Workload</t>
  </si>
  <si>
    <t>Actual
Workload</t>
  </si>
  <si>
    <t>Realized</t>
  </si>
  <si>
    <t>Remaining</t>
  </si>
  <si>
    <t>Progress</t>
  </si>
  <si>
    <t>LRN.CRS</t>
  </si>
  <si>
    <t>Learning activities</t>
  </si>
  <si>
    <t>LRN.ING.CRS</t>
  </si>
  <si>
    <t>Course « Outils pour Ing. Logicielle »</t>
  </si>
  <si>
    <t>LRN.ING.TD</t>
  </si>
  <si>
    <t>TD « Outils pour Ing. Logicielle »</t>
  </si>
  <si>
    <t>LRN.TRK.CRS</t>
  </si>
  <si>
    <t>Course « Tracking »</t>
  </si>
  <si>
    <t>LRN.TRK.TD</t>
  </si>
  <si>
    <t>TD « Tracking »</t>
  </si>
  <si>
    <t>MGT</t>
  </si>
  <si>
    <t>Project management activities</t>
  </si>
  <si>
    <t>MGT.MET</t>
  </si>
  <si>
    <t>Working meetings</t>
  </si>
  <si>
    <t>MGT.TRK</t>
  </si>
  <si>
    <t>Project tracking</t>
  </si>
  <si>
    <t>DOC</t>
  </si>
  <si>
    <t>Documentation activities</t>
  </si>
  <si>
    <t>DOC.TRK</t>
  </si>
  <si>
    <t>Tracking end report</t>
  </si>
  <si>
    <t>DOC.USR</t>
  </si>
  <si>
    <t>User documentation</t>
  </si>
  <si>
    <t>DEV</t>
  </si>
  <si>
    <t>Development activities</t>
  </si>
  <si>
    <t>DEV.SRV</t>
  </si>
  <si>
    <t>IMP</t>
  </si>
  <si>
    <t>Imponderables</t>
  </si>
  <si>
    <t>IMP.ABS</t>
  </si>
  <si>
    <t>Absent</t>
  </si>
  <si>
    <t>IMP.SCK</t>
  </si>
  <si>
    <t>Sick</t>
  </si>
  <si>
    <t>Total</t>
  </si>
  <si>
    <t>Tracking history</t>
  </si>
  <si>
    <t>Date</t>
  </si>
  <si>
    <t>Who</t>
  </si>
  <si>
    <t>What</t>
  </si>
  <si>
    <t>Workload</t>
  </si>
  <si>
    <t>Comment</t>
  </si>
  <si>
    <t>Remain</t>
  </si>
  <si>
    <t>First course on « Outils pour Ing. Logicielle »</t>
  </si>
  <si>
    <t>First course on project tracking</t>
  </si>
  <si>
    <t>Second course on  « Outils pour Ing. Logicielle »</t>
  </si>
  <si>
    <t>Hugo Nortier</t>
  </si>
  <si>
    <t>Yessine Ben el bey</t>
  </si>
  <si>
    <t>Saad el din Ahmed</t>
  </si>
  <si>
    <t>Elias Tazi</t>
  </si>
  <si>
    <t>Wajdi Gaiech</t>
  </si>
  <si>
    <t>Scrabblid</t>
  </si>
  <si>
    <t>Prepare Github</t>
  </si>
  <si>
    <t>1ère Réunion</t>
  </si>
  <si>
    <t>TEST</t>
  </si>
  <si>
    <t>Integration continue via travis</t>
  </si>
  <si>
    <t>tests d'integration de l'app scrabblid</t>
  </si>
  <si>
    <t>tests unitaires</t>
  </si>
  <si>
    <t>Test activities</t>
  </si>
  <si>
    <t>2ème Réunion</t>
  </si>
  <si>
    <t>AvailableTime</t>
  </si>
  <si>
    <t>Session de codage de partie et de joueurs</t>
  </si>
  <si>
    <t>Session de codage pour 1ère release</t>
  </si>
  <si>
    <t>CONCEPTION</t>
  </si>
  <si>
    <t>Diagram Conception</t>
  </si>
  <si>
    <t>3ème Réunion</t>
  </si>
  <si>
    <t>Session de codage release 02</t>
  </si>
  <si>
    <t>Session de codage docker + module</t>
  </si>
  <si>
    <t>Diagramme de classe</t>
  </si>
  <si>
    <t>4ème Réunion</t>
  </si>
  <si>
    <t>Refactoring du code + classe joueur et anagrammeur</t>
  </si>
  <si>
    <t xml:space="preserve">Test les classes de plateau et joueur </t>
  </si>
  <si>
    <t>code sur appariement, controlleur joueur,controlleur partie et controlleur appariement</t>
  </si>
  <si>
    <t>Étiquettes de colonnes</t>
  </si>
  <si>
    <t>Étiquettes de lignes</t>
  </si>
  <si>
    <t>Total général</t>
  </si>
  <si>
    <t>Somme de Workload</t>
  </si>
  <si>
    <t>Refactoring du code + docker compose + appariement controlleur</t>
  </si>
  <si>
    <t>tracking màj</t>
  </si>
  <si>
    <t>Développement controllers</t>
  </si>
  <si>
    <t>Tests sur tous les controllers</t>
  </si>
  <si>
    <t>%age dans le projet</t>
  </si>
  <si>
    <t>DEV.PARTIE</t>
  </si>
  <si>
    <t>DEV.ANAGRAMMEUR</t>
  </si>
  <si>
    <t>DEV.APPARIEMENT</t>
  </si>
  <si>
    <t>DEV.JOUEUR</t>
  </si>
  <si>
    <t>DEV.COMMUN</t>
  </si>
  <si>
    <t>Dev partie</t>
  </si>
  <si>
    <t>Dev anagrammeur</t>
  </si>
  <si>
    <t>Dev appariement</t>
  </si>
  <si>
    <t>Dev classes communes</t>
  </si>
  <si>
    <t>Dev joueur</t>
  </si>
  <si>
    <t>TEST.UNITAIRE</t>
  </si>
  <si>
    <t>TEST.INTEGRATION</t>
  </si>
  <si>
    <t>TEST.CI</t>
  </si>
  <si>
    <t>HN</t>
  </si>
  <si>
    <t>YB</t>
  </si>
  <si>
    <t>SA</t>
  </si>
  <si>
    <t>ET</t>
  </si>
  <si>
    <t>WG</t>
  </si>
  <si>
    <t>màj excel</t>
  </si>
  <si>
    <t>Session de codage release 03</t>
  </si>
  <si>
    <t>màj Tracking</t>
  </si>
  <si>
    <t>Course on  « Outils pour Ing. Logicielle »</t>
  </si>
  <si>
    <t>Conception Modules</t>
  </si>
  <si>
    <t>Development sans modules</t>
  </si>
  <si>
    <t>6ème Réunion</t>
  </si>
  <si>
    <t>Dév mot plateau</t>
  </si>
  <si>
    <t xml:space="preserve">TRACKING </t>
  </si>
  <si>
    <t>TD on  « Outils pour Ing. Logicielle »</t>
  </si>
  <si>
    <t>Réunion</t>
  </si>
  <si>
    <t>Développement Partie application</t>
  </si>
  <si>
    <t>Test intégration</t>
  </si>
  <si>
    <t>s'apparier pour jouer partie</t>
  </si>
  <si>
    <t>donner anagramme suivant mot plateau</t>
  </si>
  <si>
    <t>Continuer codage sur Joueur</t>
  </si>
  <si>
    <t>Codage sur plateau</t>
  </si>
  <si>
    <t>Commencement du codage Annagrammeur</t>
  </si>
  <si>
    <t>Faire valider travis</t>
  </si>
  <si>
    <t>Plateau du jeu continuation et réglage du submodule</t>
  </si>
  <si>
    <t>Faire valider travis + commencement docker</t>
  </si>
  <si>
    <t>Continuation dev Anagrammeur + dictionnaire des données</t>
  </si>
  <si>
    <t>Fonction piocher</t>
  </si>
  <si>
    <t>Refactoring</t>
  </si>
  <si>
    <t>Correction plateau et changement classe Partie</t>
  </si>
  <si>
    <t>réglé problème dictionnaire anagrammeur</t>
  </si>
  <si>
    <t>Fix warning, review du code, logger</t>
  </si>
  <si>
    <t>Readme, explications docker, logger</t>
  </si>
  <si>
    <t>Controlleur d'anagrammeur</t>
  </si>
  <si>
    <t>Review de l'historique</t>
  </si>
  <si>
    <t>Projet Gantt</t>
  </si>
  <si>
    <t>Jours calendaires 
avant deadline</t>
  </si>
  <si>
    <t>RAF/ nb de membres</t>
  </si>
  <si>
    <t>gestion partie</t>
  </si>
  <si>
    <t>geston déroulement partie dans joueur</t>
  </si>
  <si>
    <t>gestion bon déroulement, fix erreurs</t>
  </si>
  <si>
    <t xml:space="preserve">dev partie plateau </t>
  </si>
  <si>
    <t>NB jour travaillé 
par personnne par semaine</t>
  </si>
  <si>
    <t>WORKLOAD
si négatif = bon signe</t>
  </si>
  <si>
    <t>commencement rapport</t>
  </si>
  <si>
    <t>Mettre un mot sur le plateau</t>
  </si>
  <si>
    <t>Corriger l'erreur travis</t>
  </si>
  <si>
    <t>Commencement project tracking</t>
  </si>
  <si>
    <t>Test unitaires joueur</t>
  </si>
  <si>
    <t>Ajout de commentaires et javadoc</t>
  </si>
  <si>
    <t>Test d'intégration</t>
  </si>
  <si>
    <t>Tests unitaires</t>
  </si>
  <si>
    <t>Tests unitaires joueur</t>
  </si>
  <si>
    <t>Test d'intégation</t>
  </si>
  <si>
    <t>Développement du module commun</t>
  </si>
  <si>
    <t>Dernier TD gestion de projet</t>
  </si>
  <si>
    <t>Réunion préparation rendu final projet</t>
  </si>
  <si>
    <t>Rapport</t>
  </si>
  <si>
    <t>dév compter point</t>
  </si>
  <si>
    <t>dév plateau de jeu placer mot</t>
  </si>
  <si>
    <t>placer meilleur mot de l'anagrammeur</t>
  </si>
  <si>
    <t>partie multi joueurs</t>
  </si>
  <si>
    <t>test intégration peaufiné</t>
  </si>
  <si>
    <t>Finalisation excel et python</t>
  </si>
  <si>
    <t>vérifier mot placé OK</t>
  </si>
  <si>
    <t>Readme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</si>
</sst>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&quot; &quot;%"/>
    <numFmt numFmtId="165" formatCode="dd/mm/yy"/>
    <numFmt numFmtId="166" formatCode="0.0"/>
  </numFmts>
  <fonts count="22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3"/>
      <color theme="1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00FFFF"/>
        <bgColor rgb="FF00FFFF"/>
      </patternFill>
    </fill>
    <fill>
      <patternFill patternType="solid">
        <fgColor rgb="FF00FFFF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12" fillId="8" borderId="1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3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" fillId="0" borderId="0">
      <alignment horizontal="left"/>
    </xf>
    <xf numFmtId="0" fontId="1" fillId="0" borderId="0"/>
    <xf numFmtId="0" fontId="1" fillId="0" borderId="0"/>
    <xf numFmtId="0" fontId="2" fillId="0" borderId="0"/>
    <xf numFmtId="0" fontId="2" fillId="0" borderId="0">
      <alignment horizontal="left"/>
    </xf>
    <xf numFmtId="0" fontId="1" fillId="0" borderId="0"/>
    <xf numFmtId="0" fontId="13" fillId="0" borderId="0"/>
    <xf numFmtId="0" fontId="1" fillId="0" borderId="0"/>
    <xf numFmtId="0" fontId="1" fillId="0" borderId="0"/>
    <xf numFmtId="0" fontId="4" fillId="0" borderId="0"/>
  </cellStyleXfs>
  <cellXfs count="39">
    <xf numFmtId="0" fontId="0" fillId="0" borderId="0" xfId="0"/>
    <xf numFmtId="0" fontId="14" fillId="0" borderId="0" xfId="0" applyFont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9" borderId="0" xfId="0" applyFont="1" applyFill="1" applyAlignment="1">
      <alignment horizontal="center"/>
    </xf>
    <xf numFmtId="0" fontId="15" fillId="9" borderId="0" xfId="0" applyFont="1" applyFill="1" applyAlignment="1">
      <alignment horizontal="center"/>
    </xf>
    <xf numFmtId="0" fontId="0" fillId="0" borderId="0" xfId="0" applyFill="1"/>
    <xf numFmtId="0" fontId="2" fillId="0" borderId="0" xfId="0" applyFont="1" applyFill="1" applyAlignment="1"/>
    <xf numFmtId="0" fontId="15" fillId="0" borderId="0" xfId="0" applyFont="1" applyFill="1" applyAlignment="1"/>
    <xf numFmtId="0" fontId="16" fillId="0" borderId="0" xfId="0" applyFont="1" applyFill="1"/>
    <xf numFmtId="0" fontId="0" fillId="0" borderId="0" xfId="0" applyFont="1" applyFill="1" applyAlignment="1">
      <alignment horizontal="left"/>
    </xf>
    <xf numFmtId="0" fontId="0" fillId="0" borderId="0" xfId="0" applyFont="1" applyFill="1" applyAlignment="1"/>
    <xf numFmtId="0" fontId="16" fillId="0" borderId="0" xfId="0" applyFont="1" applyFill="1" applyAlignment="1"/>
    <xf numFmtId="164" fontId="16" fillId="0" borderId="0" xfId="0" applyNumberFormat="1" applyFont="1"/>
    <xf numFmtId="0" fontId="2" fillId="0" borderId="0" xfId="0" applyFon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15" fillId="10" borderId="0" xfId="0" applyFont="1" applyFill="1" applyAlignment="1">
      <alignment horizontal="center"/>
    </xf>
    <xf numFmtId="2" fontId="0" fillId="0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2" fillId="9" borderId="0" xfId="0" applyNumberFormat="1" applyFont="1" applyFill="1" applyAlignment="1">
      <alignment horizontal="center"/>
    </xf>
    <xf numFmtId="0" fontId="18" fillId="0" borderId="0" xfId="0" applyFont="1"/>
    <xf numFmtId="166" fontId="0" fillId="0" borderId="0" xfId="0" applyNumberFormat="1" applyFont="1" applyFill="1" applyAlignment="1"/>
    <xf numFmtId="0" fontId="2" fillId="10" borderId="2" xfId="0" applyFont="1" applyFill="1" applyBorder="1" applyAlignment="1">
      <alignment horizontal="center" wrapText="1"/>
    </xf>
    <xf numFmtId="0" fontId="15" fillId="10" borderId="2" xfId="0" applyFont="1" applyFill="1" applyBorder="1" applyAlignment="1">
      <alignment horizontal="center"/>
    </xf>
    <xf numFmtId="0" fontId="19" fillId="0" borderId="2" xfId="0" applyFont="1" applyBorder="1"/>
    <xf numFmtId="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2" fillId="0" borderId="0" xfId="0" applyNumberFormat="1" applyFont="1"/>
    <xf numFmtId="2" fontId="19" fillId="0" borderId="2" xfId="0" applyNumberFormat="1" applyFont="1" applyBorder="1"/>
    <xf numFmtId="2" fontId="2" fillId="0" borderId="0" xfId="0" applyNumberFormat="1" applyFont="1"/>
  </cellXfs>
  <cellStyles count="25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Neutral" xfId="14" xr:uid="{00000000-0005-0000-0000-00000C000000}"/>
    <cellStyle name="Normal" xfId="0" builtinId="0" customBuiltin="1"/>
    <cellStyle name="Note" xfId="1" builtinId="10" customBuiltin="1"/>
    <cellStyle name="Pivot Table Category" xfId="15" xr:uid="{00000000-0005-0000-0000-00000F000000}"/>
    <cellStyle name="Pivot Table Corner" xfId="16" xr:uid="{00000000-0005-0000-0000-000010000000}"/>
    <cellStyle name="Pivot Table Field" xfId="17" xr:uid="{00000000-0005-0000-0000-000011000000}"/>
    <cellStyle name="Pivot Table Result" xfId="18" xr:uid="{00000000-0005-0000-0000-000012000000}"/>
    <cellStyle name="Pivot Table Title" xfId="19" xr:uid="{00000000-0005-0000-0000-000013000000}"/>
    <cellStyle name="Pivot Table Value" xfId="20" xr:uid="{00000000-0005-0000-0000-000014000000}"/>
    <cellStyle name="Result" xfId="21" xr:uid="{00000000-0005-0000-0000-000015000000}"/>
    <cellStyle name="Status" xfId="22" xr:uid="{00000000-0005-0000-0000-000016000000}"/>
    <cellStyle name="Text" xfId="23" xr:uid="{00000000-0005-0000-0000-000017000000}"/>
    <cellStyle name="Warning" xfId="24" xr:uid="{00000000-0005-0000-0000-000018000000}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CD71D"/>
      <color rgb="FF5BC55B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ORTIER Hugo" refreshedDate="44736.952539004633" createdVersion="8" refreshedVersion="8" minRefreshableVersion="3" recordCount="261" xr:uid="{9FE9D8F3-3932-4EFD-BDAB-56661B1E8DAD}">
  <cacheSource type="worksheet">
    <worksheetSource ref="C4:H265" sheet="History_Scrabblid"/>
  </cacheSource>
  <cacheFields count="6">
    <cacheField name="Date" numFmtId="0">
      <sharedItems containsSemiMixedTypes="0" containsNonDate="0" containsDate="1" containsString="0" minDate="2022-05-02T00:00:00" maxDate="2022-06-26T00:00:00"/>
    </cacheField>
    <cacheField name="Who" numFmtId="0">
      <sharedItems count="5">
        <s v="HN"/>
        <s v="YB"/>
        <s v="SA"/>
        <s v="ET"/>
        <s v="WG"/>
      </sharedItems>
    </cacheField>
    <cacheField name="What" numFmtId="0">
      <sharedItems count="19">
        <s v="LRN.ING.CRS"/>
        <s v="LRN.TRK.CRS"/>
        <s v="MGT"/>
        <s v="MGT.MET"/>
        <s v="LRN.ING.TD"/>
        <s v="DEV.SRV"/>
        <s v="CONCEPTION"/>
        <s v="DEV.JOUEUR"/>
        <s v="DEV.COMMUN"/>
        <s v="DEV.ANAGRAMMEUR"/>
        <s v="TEST.CI"/>
        <s v="MGT.TRK"/>
        <s v="DEV.PARTIE"/>
        <s v="DEV.APPARIEMENT"/>
        <s v="TEST.UNITAIRE"/>
        <s v="DOC.USR"/>
        <s v="TEST.INTEGRATION"/>
        <s v="LRN.TRK.TD"/>
        <s v="DOC.TRK"/>
      </sharedItems>
    </cacheField>
    <cacheField name="Workload" numFmtId="2">
      <sharedItems containsSemiMixedTypes="0" containsString="0" containsNumber="1" minValue="0.1" maxValue="0.5"/>
    </cacheField>
    <cacheField name="Comment" numFmtId="0">
      <sharedItems/>
    </cacheField>
    <cacheField name="Rema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d v="2022-05-02T00:00:00"/>
    <x v="0"/>
    <x v="0"/>
    <n v="0.2"/>
    <s v="First course on « Outils pour Ing. Logicielle »"/>
    <m/>
  </r>
  <r>
    <d v="2022-05-02T00:00:00"/>
    <x v="1"/>
    <x v="0"/>
    <n v="0.2"/>
    <s v="First course on « Outils pour Ing. Logicielle »"/>
    <m/>
  </r>
  <r>
    <d v="2022-05-02T00:00:00"/>
    <x v="2"/>
    <x v="0"/>
    <n v="0.2"/>
    <s v="First course on « Outils pour Ing. Logicielle »"/>
    <m/>
  </r>
  <r>
    <d v="2022-05-02T00:00:00"/>
    <x v="3"/>
    <x v="0"/>
    <n v="0.2"/>
    <s v="First course on « Outils pour Ing. Logicielle »"/>
    <m/>
  </r>
  <r>
    <d v="2022-05-02T00:00:00"/>
    <x v="4"/>
    <x v="0"/>
    <n v="0.2"/>
    <s v="First course on « Outils pour Ing. Logicielle »"/>
    <m/>
  </r>
  <r>
    <d v="2022-05-02T00:00:00"/>
    <x v="0"/>
    <x v="1"/>
    <n v="0.2"/>
    <s v="First course on project tracking"/>
    <m/>
  </r>
  <r>
    <d v="2022-05-02T00:00:00"/>
    <x v="1"/>
    <x v="1"/>
    <n v="0.2"/>
    <s v="First course on project tracking"/>
    <m/>
  </r>
  <r>
    <d v="2022-05-02T00:00:00"/>
    <x v="2"/>
    <x v="1"/>
    <n v="0.2"/>
    <s v="First course on project tracking"/>
    <m/>
  </r>
  <r>
    <d v="2022-05-02T00:00:00"/>
    <x v="3"/>
    <x v="1"/>
    <n v="0.2"/>
    <s v="First course on project tracking"/>
    <m/>
  </r>
  <r>
    <d v="2022-05-02T00:00:00"/>
    <x v="4"/>
    <x v="1"/>
    <n v="0.2"/>
    <s v="First course on project tracking"/>
    <m/>
  </r>
  <r>
    <d v="2022-05-03T00:00:00"/>
    <x v="0"/>
    <x v="0"/>
    <n v="0.2"/>
    <s v="Second course on  « Outils pour Ing. Logicielle »"/>
    <m/>
  </r>
  <r>
    <d v="2022-05-03T00:00:00"/>
    <x v="1"/>
    <x v="0"/>
    <n v="0.2"/>
    <s v="Second course on  « Outils pour Ing. Logicielle »"/>
    <m/>
  </r>
  <r>
    <d v="2022-05-03T00:00:00"/>
    <x v="2"/>
    <x v="0"/>
    <n v="0.2"/>
    <s v="Second course on  « Outils pour Ing. Logicielle »"/>
    <m/>
  </r>
  <r>
    <d v="2022-05-03T00:00:00"/>
    <x v="3"/>
    <x v="0"/>
    <n v="0.2"/>
    <s v="Second course on  « Outils pour Ing. Logicielle »"/>
    <m/>
  </r>
  <r>
    <d v="2022-05-03T00:00:00"/>
    <x v="4"/>
    <x v="0"/>
    <n v="0.2"/>
    <s v="Second course on  « Outils pour Ing. Logicielle »"/>
    <m/>
  </r>
  <r>
    <d v="2022-05-03T00:00:00"/>
    <x v="0"/>
    <x v="1"/>
    <n v="0.2"/>
    <s v="First course on project tracking"/>
    <m/>
  </r>
  <r>
    <d v="2022-05-03T00:00:00"/>
    <x v="1"/>
    <x v="1"/>
    <n v="0.2"/>
    <s v="First course on project tracking"/>
    <m/>
  </r>
  <r>
    <d v="2022-05-03T00:00:00"/>
    <x v="2"/>
    <x v="1"/>
    <n v="0.2"/>
    <s v="First course on project tracking"/>
    <m/>
  </r>
  <r>
    <d v="2022-05-03T00:00:00"/>
    <x v="3"/>
    <x v="1"/>
    <n v="0.2"/>
    <s v="First course on project tracking"/>
    <m/>
  </r>
  <r>
    <d v="2022-05-03T00:00:00"/>
    <x v="4"/>
    <x v="1"/>
    <n v="0.2"/>
    <s v="First course on project tracking"/>
    <m/>
  </r>
  <r>
    <d v="2022-05-04T00:00:00"/>
    <x v="0"/>
    <x v="2"/>
    <n v="0.5"/>
    <s v="Prepare Github"/>
    <m/>
  </r>
  <r>
    <d v="2022-05-06T00:00:00"/>
    <x v="0"/>
    <x v="3"/>
    <n v="0.2"/>
    <s v="1ère Réunion"/>
    <m/>
  </r>
  <r>
    <d v="2022-05-06T00:00:00"/>
    <x v="1"/>
    <x v="3"/>
    <n v="0.2"/>
    <s v="1ère Réunion"/>
    <m/>
  </r>
  <r>
    <d v="2022-05-06T00:00:00"/>
    <x v="2"/>
    <x v="3"/>
    <n v="0.2"/>
    <s v="1ère Réunion"/>
    <m/>
  </r>
  <r>
    <d v="2022-05-06T00:00:00"/>
    <x v="3"/>
    <x v="3"/>
    <n v="0.2"/>
    <s v="1ère Réunion"/>
    <m/>
  </r>
  <r>
    <d v="2022-05-06T00:00:00"/>
    <x v="4"/>
    <x v="3"/>
    <n v="0.2"/>
    <s v="1ère Réunion"/>
    <m/>
  </r>
  <r>
    <d v="2022-05-07T00:00:00"/>
    <x v="0"/>
    <x v="3"/>
    <n v="0.2"/>
    <s v="2ème Réunion"/>
    <m/>
  </r>
  <r>
    <d v="2022-05-07T00:00:00"/>
    <x v="1"/>
    <x v="3"/>
    <n v="0.2"/>
    <s v="2ème Réunion"/>
    <m/>
  </r>
  <r>
    <d v="2022-05-09T00:00:00"/>
    <x v="0"/>
    <x v="4"/>
    <n v="0.2"/>
    <s v="TD on  « Outils pour Ing. Logicielle »"/>
    <m/>
  </r>
  <r>
    <d v="2022-05-09T00:00:00"/>
    <x v="1"/>
    <x v="4"/>
    <n v="0.2"/>
    <s v="TD on  « Outils pour Ing. Logicielle »"/>
    <m/>
  </r>
  <r>
    <d v="2022-05-09T00:00:00"/>
    <x v="2"/>
    <x v="4"/>
    <n v="0.2"/>
    <s v="TD on  « Outils pour Ing. Logicielle »"/>
    <m/>
  </r>
  <r>
    <d v="2022-05-09T00:00:00"/>
    <x v="3"/>
    <x v="4"/>
    <n v="0.2"/>
    <s v="TD on  « Outils pour Ing. Logicielle »"/>
    <m/>
  </r>
  <r>
    <d v="2022-05-09T00:00:00"/>
    <x v="4"/>
    <x v="4"/>
    <n v="0.2"/>
    <s v="TD on  « Outils pour Ing. Logicielle »"/>
    <m/>
  </r>
  <r>
    <d v="2022-05-09T00:00:00"/>
    <x v="0"/>
    <x v="5"/>
    <n v="0.2"/>
    <s v="Session de codage de partie et de joueurs"/>
    <m/>
  </r>
  <r>
    <d v="2022-05-09T00:00:00"/>
    <x v="1"/>
    <x v="5"/>
    <n v="0.2"/>
    <s v="Session de codage de partie et de joueurs"/>
    <m/>
  </r>
  <r>
    <d v="2022-05-09T00:00:00"/>
    <x v="2"/>
    <x v="5"/>
    <n v="0.2"/>
    <s v="Session de codage de partie et de joueurs"/>
    <m/>
  </r>
  <r>
    <d v="2022-05-09T00:00:00"/>
    <x v="3"/>
    <x v="5"/>
    <n v="0.2"/>
    <s v="Session de codage de partie et de joueurs"/>
    <m/>
  </r>
  <r>
    <d v="2022-05-09T00:00:00"/>
    <x v="4"/>
    <x v="5"/>
    <n v="0.2"/>
    <s v="Session de codage de partie et de joueurs"/>
    <m/>
  </r>
  <r>
    <d v="2022-05-10T00:00:00"/>
    <x v="0"/>
    <x v="6"/>
    <n v="0.1"/>
    <s v="Diagramme de classe"/>
    <m/>
  </r>
  <r>
    <d v="2022-05-10T00:00:00"/>
    <x v="1"/>
    <x v="6"/>
    <n v="0.1"/>
    <s v="Diagramme de classe"/>
    <m/>
  </r>
  <r>
    <d v="2022-05-10T00:00:00"/>
    <x v="2"/>
    <x v="6"/>
    <n v="0.1"/>
    <s v="Diagramme de classe"/>
    <m/>
  </r>
  <r>
    <d v="2022-05-10T00:00:00"/>
    <x v="3"/>
    <x v="6"/>
    <n v="0.1"/>
    <s v="Diagramme de classe"/>
    <m/>
  </r>
  <r>
    <d v="2022-05-10T00:00:00"/>
    <x v="4"/>
    <x v="6"/>
    <n v="0.1"/>
    <s v="Diagramme de classe"/>
    <m/>
  </r>
  <r>
    <d v="2022-05-10T00:00:00"/>
    <x v="1"/>
    <x v="7"/>
    <n v="0.2"/>
    <s v="Continuer codage sur Joueur"/>
    <m/>
  </r>
  <r>
    <d v="2022-05-10T00:00:00"/>
    <x v="4"/>
    <x v="7"/>
    <n v="0.2"/>
    <s v="Continuer codage sur Joueur"/>
    <m/>
  </r>
  <r>
    <d v="2022-05-10T00:00:00"/>
    <x v="0"/>
    <x v="8"/>
    <n v="0.2"/>
    <s v="Codage sur plateau"/>
    <m/>
  </r>
  <r>
    <d v="2022-05-10T00:00:00"/>
    <x v="3"/>
    <x v="8"/>
    <n v="0.2"/>
    <s v="Codage sur plateau"/>
    <m/>
  </r>
  <r>
    <d v="2022-05-10T00:00:00"/>
    <x v="2"/>
    <x v="9"/>
    <n v="0.2"/>
    <s v="Commencement du codage Annagrammeur"/>
    <m/>
  </r>
  <r>
    <d v="2022-05-11T00:00:00"/>
    <x v="0"/>
    <x v="5"/>
    <n v="0.2"/>
    <s v="Session de codage pour 1ère release"/>
    <m/>
  </r>
  <r>
    <d v="2022-05-11T00:00:00"/>
    <x v="1"/>
    <x v="5"/>
    <n v="0.2"/>
    <s v="Session de codage pour 1ère release"/>
    <m/>
  </r>
  <r>
    <d v="2022-05-11T00:00:00"/>
    <x v="2"/>
    <x v="5"/>
    <n v="0.2"/>
    <s v="Session de codage pour 1ère release"/>
    <m/>
  </r>
  <r>
    <d v="2022-05-11T00:00:00"/>
    <x v="3"/>
    <x v="5"/>
    <n v="0.2"/>
    <s v="Session de codage pour 1ère release"/>
    <m/>
  </r>
  <r>
    <d v="2022-05-11T00:00:00"/>
    <x v="4"/>
    <x v="5"/>
    <n v="0.2"/>
    <s v="Session de codage pour 1ère release"/>
    <m/>
  </r>
  <r>
    <d v="2022-05-11T00:00:00"/>
    <x v="1"/>
    <x v="10"/>
    <n v="0.2"/>
    <s v="Faire valider travis"/>
    <m/>
  </r>
  <r>
    <d v="2022-05-11T00:00:00"/>
    <x v="0"/>
    <x v="3"/>
    <n v="0.2"/>
    <s v="3ème Réunion"/>
    <m/>
  </r>
  <r>
    <d v="2022-05-11T00:00:00"/>
    <x v="1"/>
    <x v="3"/>
    <n v="0.2"/>
    <s v="3ème Réunion"/>
    <m/>
  </r>
  <r>
    <d v="2022-05-11T00:00:00"/>
    <x v="2"/>
    <x v="3"/>
    <n v="0.2"/>
    <s v="3ème Réunion"/>
    <m/>
  </r>
  <r>
    <d v="2022-05-11T00:00:00"/>
    <x v="3"/>
    <x v="3"/>
    <n v="0.2"/>
    <s v="3ème Réunion"/>
    <m/>
  </r>
  <r>
    <d v="2022-05-11T00:00:00"/>
    <x v="0"/>
    <x v="8"/>
    <n v="0.2"/>
    <s v="Plateau du jeu continuation et réglage du submodule"/>
    <m/>
  </r>
  <r>
    <d v="2022-05-11T00:00:00"/>
    <x v="0"/>
    <x v="10"/>
    <n v="0.2"/>
    <s v="Faire valider travis + commencement docker"/>
    <m/>
  </r>
  <r>
    <d v="2022-05-11T00:00:00"/>
    <x v="2"/>
    <x v="9"/>
    <n v="0.2"/>
    <s v="Continuation dev Anagrammeur + dictionnaire des données"/>
    <m/>
  </r>
  <r>
    <d v="2022-05-12T00:00:00"/>
    <x v="1"/>
    <x v="7"/>
    <n v="0.2"/>
    <s v="Fonction piocher"/>
    <m/>
  </r>
  <r>
    <d v="2022-05-12T00:00:00"/>
    <x v="3"/>
    <x v="8"/>
    <n v="0.4"/>
    <s v="Correction plateau et changement classe Partie"/>
    <m/>
  </r>
  <r>
    <d v="2022-05-12T00:00:00"/>
    <x v="0"/>
    <x v="8"/>
    <n v="0.4"/>
    <s v="Correction plateau et changement classe Partie"/>
    <m/>
  </r>
  <r>
    <d v="2022-05-12T00:00:00"/>
    <x v="4"/>
    <x v="7"/>
    <n v="0.4"/>
    <s v="Refactoring"/>
    <m/>
  </r>
  <r>
    <d v="2022-05-12T00:00:00"/>
    <x v="2"/>
    <x v="7"/>
    <n v="0.4"/>
    <s v="Refactoring"/>
    <m/>
  </r>
  <r>
    <d v="2022-05-12T00:00:00"/>
    <x v="1"/>
    <x v="7"/>
    <n v="0.2"/>
    <s v="Refactoring"/>
    <m/>
  </r>
  <r>
    <d v="2022-05-13T00:00:00"/>
    <x v="0"/>
    <x v="9"/>
    <n v="0.4"/>
    <s v="réglé problème dictionnaire anagrammeur"/>
    <m/>
  </r>
  <r>
    <d v="2022-05-13T00:00:00"/>
    <x v="1"/>
    <x v="9"/>
    <n v="0.4"/>
    <s v="réglé problème dictionnaire anagrammeur"/>
    <m/>
  </r>
  <r>
    <d v="2022-05-13T00:00:00"/>
    <x v="2"/>
    <x v="9"/>
    <n v="0.2"/>
    <s v="réglé problème dictionnaire anagrammeur"/>
    <m/>
  </r>
  <r>
    <d v="2022-05-13T00:00:00"/>
    <x v="0"/>
    <x v="11"/>
    <n v="0.1"/>
    <s v="TRACKING "/>
    <m/>
  </r>
  <r>
    <d v="2022-05-12T00:00:00"/>
    <x v="0"/>
    <x v="12"/>
    <n v="0.4"/>
    <s v="Fix warning, review du code, logger"/>
    <m/>
  </r>
  <r>
    <d v="2022-05-14T00:00:00"/>
    <x v="0"/>
    <x v="6"/>
    <n v="0.1"/>
    <s v="Conception Modules"/>
    <m/>
  </r>
  <r>
    <d v="2022-05-14T00:00:00"/>
    <x v="1"/>
    <x v="6"/>
    <n v="0.1"/>
    <s v="Conception Modules"/>
    <m/>
  </r>
  <r>
    <d v="2022-05-14T00:00:00"/>
    <x v="2"/>
    <x v="6"/>
    <n v="0.1"/>
    <s v="Conception Modules"/>
    <m/>
  </r>
  <r>
    <d v="2022-05-14T00:00:00"/>
    <x v="3"/>
    <x v="6"/>
    <n v="0.1"/>
    <s v="Conception Modules"/>
    <m/>
  </r>
  <r>
    <d v="2022-05-14T00:00:00"/>
    <x v="4"/>
    <x v="6"/>
    <n v="0.1"/>
    <s v="Conception Modules"/>
    <m/>
  </r>
  <r>
    <d v="2022-05-15T00:00:00"/>
    <x v="0"/>
    <x v="12"/>
    <n v="0.3"/>
    <s v="Refactoring"/>
    <m/>
  </r>
  <r>
    <d v="2022-05-15T00:00:00"/>
    <x v="1"/>
    <x v="13"/>
    <n v="0.3"/>
    <s v="Refactoring"/>
    <m/>
  </r>
  <r>
    <d v="2022-05-15T00:00:00"/>
    <x v="2"/>
    <x v="9"/>
    <n v="0.3"/>
    <s v="Refactoring"/>
    <m/>
  </r>
  <r>
    <d v="2022-05-15T00:00:00"/>
    <x v="3"/>
    <x v="8"/>
    <n v="0.3"/>
    <s v="Refactoring"/>
    <m/>
  </r>
  <r>
    <d v="2022-05-15T00:00:00"/>
    <x v="4"/>
    <x v="7"/>
    <n v="0.3"/>
    <s v="Refactoring"/>
    <m/>
  </r>
  <r>
    <d v="2022-05-16T00:00:00"/>
    <x v="4"/>
    <x v="11"/>
    <n v="0.2"/>
    <s v="TRACKING "/>
    <m/>
  </r>
  <r>
    <d v="2022-05-16T00:00:00"/>
    <x v="0"/>
    <x v="0"/>
    <n v="0.2"/>
    <s v="Course on  « Outils pour Ing. Logicielle »"/>
    <m/>
  </r>
  <r>
    <d v="2022-05-16T00:00:00"/>
    <x v="1"/>
    <x v="0"/>
    <n v="0.2"/>
    <s v="Course on  « Outils pour Ing. Logicielle »"/>
    <m/>
  </r>
  <r>
    <d v="2022-05-16T00:00:00"/>
    <x v="2"/>
    <x v="0"/>
    <n v="0.2"/>
    <s v="Course on  « Outils pour Ing. Logicielle »"/>
    <m/>
  </r>
  <r>
    <d v="2022-05-16T00:00:00"/>
    <x v="3"/>
    <x v="0"/>
    <n v="0.2"/>
    <s v="Course on  « Outils pour Ing. Logicielle »"/>
    <m/>
  </r>
  <r>
    <d v="2022-05-16T00:00:00"/>
    <x v="4"/>
    <x v="0"/>
    <n v="0.2"/>
    <s v="Course on  « Outils pour Ing. Logicielle »"/>
    <m/>
  </r>
  <r>
    <d v="2022-05-17T00:00:00"/>
    <x v="0"/>
    <x v="4"/>
    <n v="0.2"/>
    <s v="TD on  « Outils pour Ing. Logicielle »"/>
    <m/>
  </r>
  <r>
    <d v="2022-05-17T00:00:00"/>
    <x v="1"/>
    <x v="4"/>
    <n v="0.2"/>
    <s v="TD on  « Outils pour Ing. Logicielle »"/>
    <m/>
  </r>
  <r>
    <d v="2022-05-17T00:00:00"/>
    <x v="2"/>
    <x v="4"/>
    <n v="0.2"/>
    <s v="TD on  « Outils pour Ing. Logicielle »"/>
    <m/>
  </r>
  <r>
    <d v="2022-05-17T00:00:00"/>
    <x v="3"/>
    <x v="4"/>
    <n v="0.2"/>
    <s v="TD on  « Outils pour Ing. Logicielle »"/>
    <m/>
  </r>
  <r>
    <d v="2022-05-17T00:00:00"/>
    <x v="4"/>
    <x v="4"/>
    <n v="0.2"/>
    <s v="TD on  « Outils pour Ing. Logicielle »"/>
    <m/>
  </r>
  <r>
    <d v="2022-05-17T00:00:00"/>
    <x v="0"/>
    <x v="12"/>
    <n v="0.4"/>
    <s v="Session de codage release 02"/>
    <m/>
  </r>
  <r>
    <d v="2022-05-17T00:00:00"/>
    <x v="1"/>
    <x v="9"/>
    <n v="0.4"/>
    <s v="Session de codage release 02"/>
    <m/>
  </r>
  <r>
    <d v="2022-05-17T00:00:00"/>
    <x v="2"/>
    <x v="9"/>
    <n v="0.4"/>
    <s v="Session de codage release 02"/>
    <m/>
  </r>
  <r>
    <d v="2022-05-17T00:00:00"/>
    <x v="3"/>
    <x v="8"/>
    <n v="0.4"/>
    <s v="Session de codage release 02"/>
    <m/>
  </r>
  <r>
    <d v="2022-05-17T00:00:00"/>
    <x v="4"/>
    <x v="8"/>
    <n v="0.4"/>
    <s v="Session de codage release 02"/>
    <m/>
  </r>
  <r>
    <d v="2022-05-18T00:00:00"/>
    <x v="3"/>
    <x v="14"/>
    <n v="0.3"/>
    <s v="Test les classes de plateau et joueur "/>
    <m/>
  </r>
  <r>
    <d v="2022-05-18T00:00:00"/>
    <x v="4"/>
    <x v="14"/>
    <n v="0.3"/>
    <s v="Test les classes de plateau et joueur "/>
    <m/>
  </r>
  <r>
    <d v="2022-05-20T00:00:00"/>
    <x v="0"/>
    <x v="5"/>
    <n v="0.2"/>
    <s v="Session de codage docker + module"/>
    <m/>
  </r>
  <r>
    <d v="2022-05-20T00:00:00"/>
    <x v="0"/>
    <x v="11"/>
    <n v="0.2"/>
    <s v="TRACKING "/>
    <m/>
  </r>
  <r>
    <d v="2022-05-21T00:00:00"/>
    <x v="0"/>
    <x v="15"/>
    <n v="0.5"/>
    <s v="Readme, explications docker, logger"/>
    <m/>
  </r>
  <r>
    <d v="2022-05-23T00:00:00"/>
    <x v="0"/>
    <x v="0"/>
    <n v="0.2"/>
    <s v="Course on  « Outils pour Ing. Logicielle »"/>
    <m/>
  </r>
  <r>
    <d v="2022-05-23T00:00:00"/>
    <x v="1"/>
    <x v="0"/>
    <n v="0.2"/>
    <s v="Course on  « Outils pour Ing. Logicielle »"/>
    <m/>
  </r>
  <r>
    <d v="2022-05-23T00:00:00"/>
    <x v="2"/>
    <x v="0"/>
    <n v="0.2"/>
    <s v="Course on  « Outils pour Ing. Logicielle »"/>
    <m/>
  </r>
  <r>
    <d v="2022-05-23T00:00:00"/>
    <x v="3"/>
    <x v="0"/>
    <n v="0.2"/>
    <s v="Course on  « Outils pour Ing. Logicielle »"/>
    <m/>
  </r>
  <r>
    <d v="2022-05-23T00:00:00"/>
    <x v="4"/>
    <x v="0"/>
    <n v="0.2"/>
    <s v="Course on  « Outils pour Ing. Logicielle »"/>
    <m/>
  </r>
  <r>
    <d v="2022-05-23T00:00:00"/>
    <x v="0"/>
    <x v="4"/>
    <n v="0.2"/>
    <s v="TD on  « Outils pour Ing. Logicielle »"/>
    <m/>
  </r>
  <r>
    <d v="2022-05-23T00:00:00"/>
    <x v="1"/>
    <x v="4"/>
    <n v="0.2"/>
    <s v="TD on  « Outils pour Ing. Logicielle »"/>
    <m/>
  </r>
  <r>
    <d v="2022-05-23T00:00:00"/>
    <x v="2"/>
    <x v="4"/>
    <n v="0.2"/>
    <s v="TD on  « Outils pour Ing. Logicielle »"/>
    <m/>
  </r>
  <r>
    <d v="2022-05-23T00:00:00"/>
    <x v="3"/>
    <x v="4"/>
    <n v="0.2"/>
    <s v="TD on  « Outils pour Ing. Logicielle »"/>
    <m/>
  </r>
  <r>
    <d v="2022-05-23T00:00:00"/>
    <x v="4"/>
    <x v="4"/>
    <n v="0.2"/>
    <s v="TD on  « Outils pour Ing. Logicielle »"/>
    <m/>
  </r>
  <r>
    <d v="2022-05-23T00:00:00"/>
    <x v="0"/>
    <x v="3"/>
    <n v="0.2"/>
    <s v="4ème Réunion"/>
    <m/>
  </r>
  <r>
    <d v="2022-05-23T00:00:00"/>
    <x v="1"/>
    <x v="3"/>
    <n v="0.2"/>
    <s v="4ème Réunion"/>
    <m/>
  </r>
  <r>
    <d v="2022-05-23T00:00:00"/>
    <x v="2"/>
    <x v="3"/>
    <n v="0.2"/>
    <s v="4ème Réunion"/>
    <m/>
  </r>
  <r>
    <d v="2022-05-23T00:00:00"/>
    <x v="3"/>
    <x v="3"/>
    <n v="0.2"/>
    <s v="4ème Réunion"/>
    <m/>
  </r>
  <r>
    <d v="2022-05-23T00:00:00"/>
    <x v="4"/>
    <x v="3"/>
    <n v="0.2"/>
    <s v="4ème Réunion"/>
    <m/>
  </r>
  <r>
    <d v="2022-05-23T00:00:00"/>
    <x v="0"/>
    <x v="12"/>
    <n v="0.3"/>
    <s v="Refactoring du code + docker compose + appariement controlleur"/>
    <m/>
  </r>
  <r>
    <d v="2022-05-23T00:00:00"/>
    <x v="1"/>
    <x v="12"/>
    <n v="0.3"/>
    <s v="Refactoring du code + classe joueur et anagrammeur"/>
    <m/>
  </r>
  <r>
    <d v="2022-05-23T00:00:00"/>
    <x v="2"/>
    <x v="12"/>
    <n v="0.3"/>
    <s v="Refactoring du code + classe joueur et anagrammeur"/>
    <m/>
  </r>
  <r>
    <d v="2022-05-23T00:00:00"/>
    <x v="3"/>
    <x v="14"/>
    <n v="0.3"/>
    <s v="Test les classes de plateau et joueur "/>
    <m/>
  </r>
  <r>
    <d v="2022-05-23T00:00:00"/>
    <x v="4"/>
    <x v="14"/>
    <n v="0.3"/>
    <s v="Test les classes de plateau et joueur "/>
    <m/>
  </r>
  <r>
    <d v="2022-05-24T00:00:00"/>
    <x v="0"/>
    <x v="9"/>
    <n v="0.2"/>
    <s v="Controlleur d'anagrammeur"/>
    <m/>
  </r>
  <r>
    <d v="2022-05-26T00:00:00"/>
    <x v="1"/>
    <x v="13"/>
    <n v="0.5"/>
    <s v="code sur appariement, controlleur joueur,controlleur partie et controlleur appariement"/>
    <m/>
  </r>
  <r>
    <d v="2022-05-26T00:00:00"/>
    <x v="2"/>
    <x v="13"/>
    <n v="0.5"/>
    <s v="code sur appariement, controlleur joueur,controlleur partie et controlleur appariement"/>
    <m/>
  </r>
  <r>
    <d v="2022-05-27T00:00:00"/>
    <x v="4"/>
    <x v="11"/>
    <n v="0.1"/>
    <s v="tracking màj"/>
    <m/>
  </r>
  <r>
    <d v="2022-05-27T00:00:00"/>
    <x v="2"/>
    <x v="12"/>
    <n v="0.4"/>
    <s v="Développement controllers"/>
    <m/>
  </r>
  <r>
    <d v="2022-05-27T00:00:00"/>
    <x v="1"/>
    <x v="12"/>
    <n v="0.4"/>
    <s v="Développement controllers"/>
    <m/>
  </r>
  <r>
    <d v="2022-05-27T00:00:00"/>
    <x v="0"/>
    <x v="16"/>
    <n v="0.4"/>
    <s v="Tests sur tous les controllers"/>
    <m/>
  </r>
  <r>
    <d v="2022-05-30T00:00:00"/>
    <x v="0"/>
    <x v="17"/>
    <n v="0.2"/>
    <s v="TD « Tracking »"/>
    <m/>
  </r>
  <r>
    <d v="2022-05-30T00:00:00"/>
    <x v="1"/>
    <x v="17"/>
    <n v="0.2"/>
    <s v="TD « Tracking »"/>
    <m/>
  </r>
  <r>
    <d v="2022-05-30T00:00:00"/>
    <x v="2"/>
    <x v="17"/>
    <n v="0.2"/>
    <s v="TD « Tracking »"/>
    <m/>
  </r>
  <r>
    <d v="2022-05-30T00:00:00"/>
    <x v="3"/>
    <x v="17"/>
    <n v="0.2"/>
    <s v="TD « Tracking »"/>
    <m/>
  </r>
  <r>
    <d v="2022-05-30T00:00:00"/>
    <x v="4"/>
    <x v="17"/>
    <n v="0.2"/>
    <s v="TD « Tracking »"/>
    <m/>
  </r>
  <r>
    <d v="2022-05-31T00:00:00"/>
    <x v="0"/>
    <x v="3"/>
    <n v="0.2"/>
    <s v="Réunion"/>
    <m/>
  </r>
  <r>
    <d v="2022-05-31T00:00:00"/>
    <x v="1"/>
    <x v="3"/>
    <n v="0.2"/>
    <s v="Réunion"/>
    <m/>
  </r>
  <r>
    <d v="2022-05-31T00:00:00"/>
    <x v="2"/>
    <x v="3"/>
    <n v="0.2"/>
    <s v="Réunion"/>
    <m/>
  </r>
  <r>
    <d v="2022-05-31T00:00:00"/>
    <x v="3"/>
    <x v="3"/>
    <n v="0.2"/>
    <s v="Réunion"/>
    <m/>
  </r>
  <r>
    <d v="2022-05-31T00:00:00"/>
    <x v="4"/>
    <x v="3"/>
    <n v="0.2"/>
    <s v="Réunion"/>
    <m/>
  </r>
  <r>
    <d v="2022-05-31T00:00:00"/>
    <x v="0"/>
    <x v="4"/>
    <n v="0.2"/>
    <s v="Course on  « Outils pour Ing. Logicielle »"/>
    <m/>
  </r>
  <r>
    <d v="2022-05-31T00:00:00"/>
    <x v="1"/>
    <x v="4"/>
    <n v="0.2"/>
    <s v="Course on  « Outils pour Ing. Logicielle »"/>
    <m/>
  </r>
  <r>
    <d v="2022-05-31T00:00:00"/>
    <x v="2"/>
    <x v="4"/>
    <n v="0.2"/>
    <s v="Course on  « Outils pour Ing. Logicielle »"/>
    <m/>
  </r>
  <r>
    <d v="2022-05-31T00:00:00"/>
    <x v="3"/>
    <x v="4"/>
    <n v="0.2"/>
    <s v="Course on  « Outils pour Ing. Logicielle »"/>
    <m/>
  </r>
  <r>
    <d v="2022-05-31T00:00:00"/>
    <x v="4"/>
    <x v="4"/>
    <n v="0.2"/>
    <s v="Course on  « Outils pour Ing. Logicielle »"/>
    <m/>
  </r>
  <r>
    <d v="2022-05-31T00:00:00"/>
    <x v="0"/>
    <x v="16"/>
    <n v="0.5"/>
    <s v="Session de codage release 03"/>
    <m/>
  </r>
  <r>
    <d v="2022-05-31T00:00:00"/>
    <x v="1"/>
    <x v="13"/>
    <n v="0.5"/>
    <s v="Session de codage release 03"/>
    <m/>
  </r>
  <r>
    <d v="2022-05-31T00:00:00"/>
    <x v="2"/>
    <x v="13"/>
    <n v="0.5"/>
    <s v="Session de codage release 03"/>
    <m/>
  </r>
  <r>
    <d v="2022-05-31T00:00:00"/>
    <x v="3"/>
    <x v="8"/>
    <n v="0.5"/>
    <s v="Session de codage release 03"/>
    <m/>
  </r>
  <r>
    <d v="2022-05-31T00:00:00"/>
    <x v="4"/>
    <x v="8"/>
    <n v="0.5"/>
    <s v="Session de codage release 03"/>
    <m/>
  </r>
  <r>
    <d v="2022-06-03T00:00:00"/>
    <x v="0"/>
    <x v="3"/>
    <n v="0.2"/>
    <s v="Réunion"/>
    <m/>
  </r>
  <r>
    <d v="2022-06-03T00:00:00"/>
    <x v="1"/>
    <x v="3"/>
    <n v="0.2"/>
    <s v="Réunion"/>
    <m/>
  </r>
  <r>
    <d v="2022-06-03T00:00:00"/>
    <x v="2"/>
    <x v="3"/>
    <n v="0.2"/>
    <s v="Réunion"/>
    <m/>
  </r>
  <r>
    <d v="2022-06-03T00:00:00"/>
    <x v="3"/>
    <x v="3"/>
    <n v="0.2"/>
    <s v="Réunion"/>
    <m/>
  </r>
  <r>
    <d v="2022-06-03T00:00:00"/>
    <x v="4"/>
    <x v="3"/>
    <n v="0.2"/>
    <s v="Réunion"/>
    <m/>
  </r>
  <r>
    <d v="2022-06-04T00:00:00"/>
    <x v="0"/>
    <x v="11"/>
    <n v="0.1"/>
    <s v="màj excel"/>
    <m/>
  </r>
  <r>
    <d v="2022-06-04T00:00:00"/>
    <x v="0"/>
    <x v="12"/>
    <n v="0.3"/>
    <s v="Développement Partie application"/>
    <m/>
  </r>
  <r>
    <d v="2022-06-04T00:00:00"/>
    <x v="4"/>
    <x v="11"/>
    <n v="0.1"/>
    <s v="màj Tracking"/>
    <m/>
  </r>
  <r>
    <d v="2022-06-04T00:00:00"/>
    <x v="3"/>
    <x v="8"/>
    <n v="0.3"/>
    <s v="Dév mot plateau"/>
    <m/>
  </r>
  <r>
    <d v="2022-06-05T00:00:00"/>
    <x v="0"/>
    <x v="18"/>
    <n v="0.4"/>
    <s v="Projet Gantt"/>
    <m/>
  </r>
  <r>
    <d v="2022-06-06T00:00:00"/>
    <x v="0"/>
    <x v="3"/>
    <n v="0.1"/>
    <s v="6ème Réunion"/>
    <m/>
  </r>
  <r>
    <d v="2022-06-06T00:00:00"/>
    <x v="3"/>
    <x v="3"/>
    <n v="0.1"/>
    <s v="6ème Réunion"/>
    <m/>
  </r>
  <r>
    <d v="2022-06-07T00:00:00"/>
    <x v="0"/>
    <x v="4"/>
    <n v="0.2"/>
    <s v="Course on  « Outils pour Ing. Logicielle »"/>
    <m/>
  </r>
  <r>
    <d v="2022-06-07T00:00:00"/>
    <x v="1"/>
    <x v="4"/>
    <n v="0.2"/>
    <s v="Course on  « Outils pour Ing. Logicielle »"/>
    <m/>
  </r>
  <r>
    <d v="2022-06-07T00:00:00"/>
    <x v="2"/>
    <x v="4"/>
    <n v="0.2"/>
    <s v="Course on  « Outils pour Ing. Logicielle »"/>
    <m/>
  </r>
  <r>
    <d v="2022-06-07T00:00:00"/>
    <x v="3"/>
    <x v="4"/>
    <n v="0.2"/>
    <s v="Course on  « Outils pour Ing. Logicielle »"/>
    <m/>
  </r>
  <r>
    <d v="2022-06-07T00:00:00"/>
    <x v="4"/>
    <x v="4"/>
    <n v="0.2"/>
    <s v="Course on  « Outils pour Ing. Logicielle »"/>
    <m/>
  </r>
  <r>
    <d v="2022-06-07T00:00:00"/>
    <x v="0"/>
    <x v="17"/>
    <n v="0.2"/>
    <s v="TD « Tracking »"/>
    <m/>
  </r>
  <r>
    <d v="2022-06-07T00:00:00"/>
    <x v="1"/>
    <x v="17"/>
    <n v="0.2"/>
    <s v="TD « Tracking »"/>
    <m/>
  </r>
  <r>
    <d v="2022-06-07T00:00:00"/>
    <x v="2"/>
    <x v="17"/>
    <n v="0.2"/>
    <s v="TD « Tracking »"/>
    <m/>
  </r>
  <r>
    <d v="2022-06-07T00:00:00"/>
    <x v="3"/>
    <x v="17"/>
    <n v="0.2"/>
    <s v="TD « Tracking »"/>
    <m/>
  </r>
  <r>
    <d v="2022-06-07T00:00:00"/>
    <x v="4"/>
    <x v="17"/>
    <n v="0.2"/>
    <s v="TD « Tracking »"/>
    <m/>
  </r>
  <r>
    <d v="2022-06-07T00:00:00"/>
    <x v="0"/>
    <x v="3"/>
    <n v="0.2"/>
    <s v="Réunion"/>
    <m/>
  </r>
  <r>
    <d v="2022-06-07T00:00:00"/>
    <x v="1"/>
    <x v="3"/>
    <n v="0.2"/>
    <s v="Réunion"/>
    <m/>
  </r>
  <r>
    <d v="2022-06-07T00:00:00"/>
    <x v="2"/>
    <x v="3"/>
    <n v="0.2"/>
    <s v="Réunion"/>
    <m/>
  </r>
  <r>
    <d v="2022-06-07T00:00:00"/>
    <x v="3"/>
    <x v="3"/>
    <n v="0.2"/>
    <s v="Réunion"/>
    <m/>
  </r>
  <r>
    <d v="2022-06-07T00:00:00"/>
    <x v="4"/>
    <x v="3"/>
    <n v="0.2"/>
    <s v="Réunion"/>
    <m/>
  </r>
  <r>
    <d v="2022-06-07T00:00:00"/>
    <x v="0"/>
    <x v="16"/>
    <n v="0.3"/>
    <s v="Test intégration"/>
    <m/>
  </r>
  <r>
    <d v="2022-06-07T00:00:00"/>
    <x v="1"/>
    <x v="13"/>
    <n v="0.4"/>
    <s v="s'apparier pour jouer partie"/>
    <m/>
  </r>
  <r>
    <d v="2022-06-07T00:00:00"/>
    <x v="2"/>
    <x v="13"/>
    <n v="0.4"/>
    <s v="s'apparier pour jouer partie"/>
    <m/>
  </r>
  <r>
    <d v="2022-06-07T00:00:00"/>
    <x v="3"/>
    <x v="9"/>
    <n v="0.3"/>
    <s v="donner anagramme suivant mot plateau"/>
    <m/>
  </r>
  <r>
    <d v="2022-06-07T00:00:00"/>
    <x v="4"/>
    <x v="9"/>
    <n v="0.3"/>
    <s v="donner anagramme suivant mot plateau"/>
    <m/>
  </r>
  <r>
    <d v="2022-06-07T00:00:00"/>
    <x v="0"/>
    <x v="11"/>
    <n v="0.15"/>
    <s v="Review de l'historique"/>
    <m/>
  </r>
  <r>
    <d v="2022-06-07T00:00:00"/>
    <x v="1"/>
    <x v="11"/>
    <n v="0.15"/>
    <s v="Review de l'historique"/>
    <m/>
  </r>
  <r>
    <d v="2022-06-07T00:00:00"/>
    <x v="2"/>
    <x v="11"/>
    <n v="0.15"/>
    <s v="Review de l'historique"/>
    <m/>
  </r>
  <r>
    <d v="2022-06-07T00:00:00"/>
    <x v="3"/>
    <x v="11"/>
    <n v="0.15"/>
    <s v="Review de l'historique"/>
    <m/>
  </r>
  <r>
    <d v="2022-06-09T00:00:00"/>
    <x v="3"/>
    <x v="9"/>
    <n v="0.15"/>
    <s v="donner anagramme suivant mot plateau"/>
    <m/>
  </r>
  <r>
    <d v="2022-06-09T00:00:00"/>
    <x v="4"/>
    <x v="9"/>
    <n v="0.15"/>
    <s v="donner anagramme suivant mot plateau"/>
    <m/>
  </r>
  <r>
    <d v="2022-06-09T00:00:00"/>
    <x v="0"/>
    <x v="13"/>
    <n v="0.15"/>
    <s v="gestion partie"/>
    <m/>
  </r>
  <r>
    <d v="2022-06-09T00:00:00"/>
    <x v="1"/>
    <x v="13"/>
    <n v="0.15"/>
    <s v="gestion partie"/>
    <m/>
  </r>
  <r>
    <d v="2022-06-09T00:00:00"/>
    <x v="2"/>
    <x v="13"/>
    <n v="0.15"/>
    <s v="gestion partie"/>
    <m/>
  </r>
  <r>
    <d v="2022-06-10T00:00:00"/>
    <x v="0"/>
    <x v="3"/>
    <n v="0.2"/>
    <s v="Réunion"/>
    <m/>
  </r>
  <r>
    <d v="2022-06-10T00:00:00"/>
    <x v="1"/>
    <x v="3"/>
    <n v="0.2"/>
    <s v="Réunion"/>
    <m/>
  </r>
  <r>
    <d v="2022-06-10T00:00:00"/>
    <x v="2"/>
    <x v="3"/>
    <n v="0.2"/>
    <s v="Réunion"/>
    <m/>
  </r>
  <r>
    <d v="2022-06-10T00:00:00"/>
    <x v="3"/>
    <x v="3"/>
    <n v="0.2"/>
    <s v="Réunion"/>
    <m/>
  </r>
  <r>
    <d v="2022-06-10T00:00:00"/>
    <x v="4"/>
    <x v="3"/>
    <n v="0.2"/>
    <s v="Réunion"/>
    <m/>
  </r>
  <r>
    <d v="2022-06-11T00:00:00"/>
    <x v="4"/>
    <x v="7"/>
    <n v="0.15"/>
    <s v="geston déroulement partie dans joueur"/>
    <m/>
  </r>
  <r>
    <d v="2022-06-11T00:00:00"/>
    <x v="2"/>
    <x v="7"/>
    <n v="0.15"/>
    <s v="geston déroulement partie dans joueur"/>
    <m/>
  </r>
  <r>
    <d v="2022-06-11T00:00:00"/>
    <x v="1"/>
    <x v="7"/>
    <n v="0.15"/>
    <s v="geston déroulement partie dans joueur"/>
    <m/>
  </r>
  <r>
    <d v="2022-06-13T00:00:00"/>
    <x v="0"/>
    <x v="17"/>
    <n v="0.2"/>
    <s v="TD « Tracking »"/>
    <m/>
  </r>
  <r>
    <d v="2022-06-13T00:00:00"/>
    <x v="1"/>
    <x v="17"/>
    <n v="0.2"/>
    <s v="TD « Tracking »"/>
    <m/>
  </r>
  <r>
    <d v="2022-06-13T00:00:00"/>
    <x v="2"/>
    <x v="17"/>
    <n v="0.2"/>
    <s v="TD « Tracking »"/>
    <m/>
  </r>
  <r>
    <d v="2022-06-13T00:00:00"/>
    <x v="3"/>
    <x v="17"/>
    <n v="0.2"/>
    <s v="TD « Tracking »"/>
    <m/>
  </r>
  <r>
    <d v="2022-06-13T00:00:00"/>
    <x v="4"/>
    <x v="17"/>
    <n v="0.2"/>
    <s v="TD « Tracking »"/>
    <m/>
  </r>
  <r>
    <d v="2022-06-14T00:00:00"/>
    <x v="0"/>
    <x v="4"/>
    <n v="0.2"/>
    <s v="TD on  « Outils pour Ing. Logicielle »"/>
    <m/>
  </r>
  <r>
    <d v="2022-06-14T00:00:00"/>
    <x v="1"/>
    <x v="4"/>
    <n v="0.2"/>
    <s v="TD on  « Outils pour Ing. Logicielle »"/>
    <m/>
  </r>
  <r>
    <d v="2022-06-14T00:00:00"/>
    <x v="2"/>
    <x v="4"/>
    <n v="0.2"/>
    <s v="TD on  « Outils pour Ing. Logicielle »"/>
    <m/>
  </r>
  <r>
    <d v="2022-06-14T00:00:00"/>
    <x v="3"/>
    <x v="4"/>
    <n v="0.2"/>
    <s v="TD on  « Outils pour Ing. Logicielle »"/>
    <m/>
  </r>
  <r>
    <d v="2022-06-14T00:00:00"/>
    <x v="4"/>
    <x v="4"/>
    <n v="0.2"/>
    <s v="TD on  « Outils pour Ing. Logicielle »"/>
    <m/>
  </r>
  <r>
    <d v="2022-06-15T00:00:00"/>
    <x v="0"/>
    <x v="13"/>
    <n v="0.2"/>
    <s v="gestion bon déroulement, fix erreurs"/>
    <m/>
  </r>
  <r>
    <d v="2022-06-15T00:00:00"/>
    <x v="1"/>
    <x v="13"/>
    <n v="0.2"/>
    <s v="gestion bon déroulement, fix erreurs"/>
    <m/>
  </r>
  <r>
    <d v="2022-06-15T00:00:00"/>
    <x v="2"/>
    <x v="13"/>
    <n v="0.2"/>
    <s v="gestion bon déroulement, fix erreurs"/>
    <m/>
  </r>
  <r>
    <d v="2022-06-15T00:00:00"/>
    <x v="3"/>
    <x v="12"/>
    <n v="0.3"/>
    <s v="dev partie plateau "/>
    <m/>
  </r>
  <r>
    <d v="2022-06-15T00:00:00"/>
    <x v="4"/>
    <x v="12"/>
    <n v="0.3"/>
    <s v="dev partie plateau "/>
    <m/>
  </r>
  <r>
    <d v="2022-06-15T00:00:00"/>
    <x v="0"/>
    <x v="11"/>
    <n v="0.2"/>
    <s v="tracking màj"/>
    <m/>
  </r>
  <r>
    <d v="2022-06-16T00:00:00"/>
    <x v="0"/>
    <x v="18"/>
    <n v="0.4"/>
    <s v="commencement rapport"/>
    <m/>
  </r>
  <r>
    <d v="2022-06-16T00:00:00"/>
    <x v="1"/>
    <x v="18"/>
    <n v="0.4"/>
    <s v="commencement rapport"/>
    <m/>
  </r>
  <r>
    <d v="2022-06-16T00:00:00"/>
    <x v="2"/>
    <x v="18"/>
    <n v="0.4"/>
    <s v="commencement rapport"/>
    <m/>
  </r>
  <r>
    <d v="2022-06-16T00:00:00"/>
    <x v="3"/>
    <x v="18"/>
    <n v="0.4"/>
    <s v="commencement rapport"/>
    <m/>
  </r>
  <r>
    <d v="2022-06-16T00:00:00"/>
    <x v="4"/>
    <x v="18"/>
    <n v="0.4"/>
    <s v="commencement rapport"/>
    <m/>
  </r>
  <r>
    <d v="2022-06-17T00:00:00"/>
    <x v="3"/>
    <x v="9"/>
    <n v="0.4"/>
    <s v="Mettre un mot sur le plateau"/>
    <m/>
  </r>
  <r>
    <d v="2022-06-17T00:00:00"/>
    <x v="1"/>
    <x v="11"/>
    <n v="0.2"/>
    <s v="Commencement project tracking"/>
    <m/>
  </r>
  <r>
    <d v="2022-06-17T00:00:00"/>
    <x v="0"/>
    <x v="11"/>
    <n v="0.2"/>
    <s v="Commencement project tracking"/>
    <m/>
  </r>
  <r>
    <d v="2022-06-17T00:00:00"/>
    <x v="4"/>
    <x v="14"/>
    <n v="0.2"/>
    <s v="Test unitaires joueur"/>
    <m/>
  </r>
  <r>
    <d v="2022-06-17T00:00:00"/>
    <x v="2"/>
    <x v="16"/>
    <n v="0.2"/>
    <s v="Corriger l'erreur travis"/>
    <m/>
  </r>
  <r>
    <d v="2022-06-18T00:00:00"/>
    <x v="1"/>
    <x v="10"/>
    <n v="0.1"/>
    <s v="Corriger l'erreur travis"/>
    <m/>
  </r>
  <r>
    <d v="2022-06-18T00:00:00"/>
    <x v="0"/>
    <x v="16"/>
    <n v="0.2"/>
    <s v="Test d'intégration"/>
    <m/>
  </r>
  <r>
    <d v="2022-06-18T00:00:00"/>
    <x v="3"/>
    <x v="15"/>
    <n v="0.1"/>
    <s v="Ajout de commentaires et javadoc"/>
    <m/>
  </r>
  <r>
    <d v="2022-06-18T00:00:00"/>
    <x v="4"/>
    <x v="15"/>
    <n v="0.1"/>
    <s v="Ajout de commentaires et javadoc"/>
    <m/>
  </r>
  <r>
    <d v="2022-06-18T00:00:00"/>
    <x v="2"/>
    <x v="15"/>
    <n v="0.1"/>
    <s v="Ajout de commentaires et javadoc"/>
    <m/>
  </r>
  <r>
    <d v="2022-06-19T00:00:00"/>
    <x v="1"/>
    <x v="16"/>
    <n v="0.25"/>
    <s v="Test d'intégation"/>
    <m/>
  </r>
  <r>
    <d v="2022-06-19T00:00:00"/>
    <x v="2"/>
    <x v="16"/>
    <n v="0.25"/>
    <s v="Test d'intégration"/>
    <m/>
  </r>
  <r>
    <d v="2022-06-19T00:00:00"/>
    <x v="4"/>
    <x v="14"/>
    <n v="0.2"/>
    <s v="Tests unitaires joueur"/>
    <m/>
  </r>
  <r>
    <d v="2022-06-19T00:00:00"/>
    <x v="3"/>
    <x v="14"/>
    <n v="0.2"/>
    <s v="Tests unitaires"/>
    <m/>
  </r>
  <r>
    <d v="2022-06-19T00:00:00"/>
    <x v="0"/>
    <x v="8"/>
    <n v="0.2"/>
    <s v="Développement du module commun"/>
    <m/>
  </r>
  <r>
    <d v="2022-06-20T00:00:00"/>
    <x v="1"/>
    <x v="17"/>
    <n v="0.2"/>
    <s v="Dernier TD gestion de projet"/>
    <m/>
  </r>
  <r>
    <d v="2022-06-20T00:00:00"/>
    <x v="0"/>
    <x v="17"/>
    <n v="0.2"/>
    <s v="Dernier TD gestion de projet"/>
    <m/>
  </r>
  <r>
    <d v="2022-06-20T00:00:00"/>
    <x v="4"/>
    <x v="17"/>
    <n v="0.2"/>
    <s v="Dernier TD gestion de projet"/>
    <m/>
  </r>
  <r>
    <d v="2022-06-20T00:00:00"/>
    <x v="2"/>
    <x v="17"/>
    <n v="0.2"/>
    <s v="Dernier TD gestion de projet"/>
    <m/>
  </r>
  <r>
    <d v="2022-06-20T00:00:00"/>
    <x v="3"/>
    <x v="17"/>
    <n v="0.2"/>
    <s v="Dernier TD gestion de projet"/>
    <m/>
  </r>
  <r>
    <d v="2022-06-23T00:00:00"/>
    <x v="0"/>
    <x v="3"/>
    <n v="0.15"/>
    <s v="Réunion préparation rendu final projet"/>
    <m/>
  </r>
  <r>
    <d v="2022-06-23T00:00:00"/>
    <x v="1"/>
    <x v="3"/>
    <n v="0.1"/>
    <s v="Réunion préparation rendu final projet"/>
    <m/>
  </r>
  <r>
    <d v="2022-06-23T00:00:00"/>
    <x v="2"/>
    <x v="3"/>
    <n v="0.1"/>
    <s v="Réunion préparation rendu final projet"/>
    <m/>
  </r>
  <r>
    <d v="2022-06-23T00:00:00"/>
    <x v="3"/>
    <x v="3"/>
    <n v="0.15"/>
    <s v="Réunion préparation rendu final projet"/>
    <m/>
  </r>
  <r>
    <d v="2022-06-23T00:00:00"/>
    <x v="4"/>
    <x v="3"/>
    <n v="0.1"/>
    <s v="Réunion préparation rendu final projet"/>
    <m/>
  </r>
  <r>
    <d v="2022-06-23T00:00:00"/>
    <x v="0"/>
    <x v="11"/>
    <n v="0.4"/>
    <s v="Rapport"/>
    <m/>
  </r>
  <r>
    <d v="2022-06-23T00:00:00"/>
    <x v="2"/>
    <x v="18"/>
    <n v="0.1"/>
    <s v="Finalisation excel et python"/>
    <m/>
  </r>
  <r>
    <d v="2022-06-23T00:00:00"/>
    <x v="0"/>
    <x v="18"/>
    <n v="0.1"/>
    <s v="Finalisation excel et python"/>
    <m/>
  </r>
  <r>
    <d v="2022-06-23T00:00:00"/>
    <x v="4"/>
    <x v="11"/>
    <n v="0.1"/>
    <s v="Rapport"/>
    <m/>
  </r>
  <r>
    <d v="2022-06-23T00:00:00"/>
    <x v="1"/>
    <x v="8"/>
    <n v="0.3"/>
    <s v="dév plateau de jeu placer mot"/>
    <m/>
  </r>
  <r>
    <d v="2022-06-23T00:00:00"/>
    <x v="1"/>
    <x v="12"/>
    <n v="0.2"/>
    <s v="dév compter point"/>
    <m/>
  </r>
  <r>
    <d v="2022-06-24T00:00:00"/>
    <x v="1"/>
    <x v="9"/>
    <n v="0.2"/>
    <s v="placer meilleur mot de l'anagrammeur"/>
    <m/>
  </r>
  <r>
    <d v="2022-06-24T00:00:00"/>
    <x v="0"/>
    <x v="9"/>
    <n v="0.1"/>
    <s v="placer meilleur mot de l'anagrammeur"/>
    <m/>
  </r>
  <r>
    <d v="2022-06-24T00:00:00"/>
    <x v="3"/>
    <x v="9"/>
    <n v="0.1"/>
    <s v="placer meilleur mot de l'anagrammeur"/>
    <m/>
  </r>
  <r>
    <d v="2022-06-24T00:00:00"/>
    <x v="2"/>
    <x v="13"/>
    <n v="0.2"/>
    <s v="partie multi joueurs"/>
    <m/>
  </r>
  <r>
    <d v="2022-06-24T00:00:00"/>
    <x v="2"/>
    <x v="12"/>
    <n v="0.2"/>
    <s v="partie multi joueurs"/>
    <m/>
  </r>
  <r>
    <d v="2022-06-24T00:00:00"/>
    <x v="3"/>
    <x v="16"/>
    <n v="0.4"/>
    <s v="test intégration peaufiné"/>
    <m/>
  </r>
  <r>
    <d v="2022-06-25T00:00:00"/>
    <x v="1"/>
    <x v="9"/>
    <n v="0.25"/>
    <s v="vérifier mot placé OK"/>
    <m/>
  </r>
  <r>
    <d v="2022-06-25T00:00:00"/>
    <x v="3"/>
    <x v="16"/>
    <n v="0.35"/>
    <s v="test intégration peaufiné"/>
    <m/>
  </r>
  <r>
    <d v="2022-06-25T00:00:00"/>
    <x v="0"/>
    <x v="16"/>
    <n v="0.2"/>
    <s v="test intégration peaufiné"/>
    <m/>
  </r>
  <r>
    <d v="2022-06-25T00:00:00"/>
    <x v="0"/>
    <x v="15"/>
    <n v="0.1"/>
    <s v="Readme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46BA90-CABB-41C3-86FF-CA9A63E07E15}" name="Tableau croisé dynamique2" cacheId="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G22" firstHeaderRow="1" firstDataRow="2" firstDataCol="1"/>
  <pivotFields count="6">
    <pivotField showAll="0"/>
    <pivotField axis="axisCol" showAll="0">
      <items count="6">
        <item x="3"/>
        <item x="0"/>
        <item x="2"/>
        <item x="4"/>
        <item x="1"/>
        <item t="default"/>
      </items>
    </pivotField>
    <pivotField axis="axisRow" showAll="0">
      <items count="20">
        <item x="6"/>
        <item x="9"/>
        <item x="13"/>
        <item x="8"/>
        <item x="7"/>
        <item x="12"/>
        <item x="5"/>
        <item x="18"/>
        <item x="15"/>
        <item x="0"/>
        <item x="4"/>
        <item x="1"/>
        <item x="17"/>
        <item x="2"/>
        <item x="3"/>
        <item x="11"/>
        <item x="10"/>
        <item x="16"/>
        <item x="14"/>
        <item t="default"/>
      </items>
    </pivotField>
    <pivotField dataField="1" numFmtId="2" showAll="0"/>
    <pivotField showAll="0"/>
    <pivotField showAll="0"/>
  </pivotFields>
  <rowFields count="1">
    <field x="2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e de Workloa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57"/>
  <sheetViews>
    <sheetView tabSelected="1" topLeftCell="A24" workbookViewId="0">
      <selection activeCell="E55" sqref="E55"/>
    </sheetView>
  </sheetViews>
  <sheetFormatPr baseColWidth="10" defaultRowHeight="12.75" x14ac:dyDescent="0.2"/>
  <cols>
    <col min="1" max="2" width="12.140625" customWidth="1"/>
    <col min="3" max="3" width="22.7109375" customWidth="1"/>
    <col min="4" max="4" width="39.140625" customWidth="1"/>
    <col min="5" max="5" width="16.140625" customWidth="1"/>
    <col min="6" max="6" width="17" customWidth="1"/>
    <col min="7" max="9" width="12.140625" customWidth="1"/>
    <col min="10" max="10" width="19.7109375" customWidth="1"/>
    <col min="11" max="11" width="20.28515625" customWidth="1"/>
    <col min="12" max="12" width="20.140625" customWidth="1"/>
    <col min="13" max="1021" width="12.140625" customWidth="1"/>
  </cols>
  <sheetData>
    <row r="2" spans="2:5" ht="16.5" x14ac:dyDescent="0.25">
      <c r="B2" s="1" t="s">
        <v>0</v>
      </c>
    </row>
    <row r="4" spans="2:5" x14ac:dyDescent="0.2">
      <c r="C4" t="s">
        <v>1</v>
      </c>
      <c r="D4" t="s">
        <v>65</v>
      </c>
    </row>
    <row r="5" spans="2:5" x14ac:dyDescent="0.2">
      <c r="C5" t="s">
        <v>2</v>
      </c>
      <c r="D5" t="s">
        <v>3</v>
      </c>
    </row>
    <row r="6" spans="2:5" x14ac:dyDescent="0.2">
      <c r="C6" t="s">
        <v>4</v>
      </c>
      <c r="D6" s="2">
        <v>12</v>
      </c>
      <c r="E6" t="s">
        <v>5</v>
      </c>
    </row>
    <row r="7" spans="2:5" x14ac:dyDescent="0.2">
      <c r="C7" s="3" t="s">
        <v>6</v>
      </c>
      <c r="D7" s="4">
        <f>$D$18*D6</f>
        <v>60</v>
      </c>
    </row>
    <row r="10" spans="2:5" ht="16.5" x14ac:dyDescent="0.25">
      <c r="B10" s="1" t="s">
        <v>7</v>
      </c>
    </row>
    <row r="12" spans="2:5" x14ac:dyDescent="0.2">
      <c r="C12" s="5" t="s">
        <v>8</v>
      </c>
      <c r="D12" s="5" t="s">
        <v>9</v>
      </c>
    </row>
    <row r="13" spans="2:5" x14ac:dyDescent="0.2">
      <c r="C13" t="s">
        <v>109</v>
      </c>
      <c r="D13" t="s">
        <v>60</v>
      </c>
    </row>
    <row r="14" spans="2:5" x14ac:dyDescent="0.2">
      <c r="C14" t="s">
        <v>110</v>
      </c>
      <c r="D14" t="s">
        <v>61</v>
      </c>
    </row>
    <row r="15" spans="2:5" x14ac:dyDescent="0.2">
      <c r="C15" t="s">
        <v>111</v>
      </c>
      <c r="D15" t="s">
        <v>62</v>
      </c>
    </row>
    <row r="16" spans="2:5" x14ac:dyDescent="0.2">
      <c r="C16" t="s">
        <v>112</v>
      </c>
      <c r="D16" t="s">
        <v>63</v>
      </c>
    </row>
    <row r="17" spans="2:11" x14ac:dyDescent="0.2">
      <c r="C17" t="s">
        <v>113</v>
      </c>
      <c r="D17" t="s">
        <v>64</v>
      </c>
    </row>
    <row r="18" spans="2:11" x14ac:dyDescent="0.2">
      <c r="C18" s="3" t="s">
        <v>10</v>
      </c>
      <c r="D18" s="4">
        <v>5</v>
      </c>
    </row>
    <row r="21" spans="2:11" ht="16.5" x14ac:dyDescent="0.25">
      <c r="B21" s="1" t="s">
        <v>11</v>
      </c>
    </row>
    <row r="23" spans="2:11" x14ac:dyDescent="0.2">
      <c r="C23" s="5" t="s">
        <v>8</v>
      </c>
      <c r="D23" s="5" t="s">
        <v>12</v>
      </c>
      <c r="E23" s="5" t="s">
        <v>13</v>
      </c>
      <c r="F23" s="6" t="s">
        <v>14</v>
      </c>
      <c r="G23" s="5" t="s">
        <v>15</v>
      </c>
      <c r="H23" s="24" t="s">
        <v>16</v>
      </c>
      <c r="I23" s="24" t="s">
        <v>17</v>
      </c>
      <c r="J23" s="24" t="s">
        <v>95</v>
      </c>
      <c r="K23" s="24" t="s">
        <v>74</v>
      </c>
    </row>
    <row r="24" spans="2:11" s="7" customFormat="1" x14ac:dyDescent="0.2">
      <c r="C24" s="8"/>
      <c r="D24" s="8"/>
      <c r="E24" s="8"/>
      <c r="F24" s="9"/>
      <c r="G24" s="8"/>
      <c r="H24" s="8"/>
      <c r="I24" s="10"/>
    </row>
    <row r="25" spans="2:11" x14ac:dyDescent="0.2">
      <c r="C25" s="11" t="s">
        <v>18</v>
      </c>
      <c r="D25" s="11" t="s">
        <v>19</v>
      </c>
      <c r="E25" s="12"/>
      <c r="F25" s="13" t="str">
        <f t="shared" ref="F25:F50" si="0">IF(ISNUMBER(E25),E25,IF(ISNUMBER(G25),G25,""))</f>
        <v/>
      </c>
      <c r="G25" s="12"/>
      <c r="H25" s="12" t="str">
        <f t="shared" ref="H25:H50" si="1">IF(ISNUMBER(F25), F25-G25,"")</f>
        <v/>
      </c>
      <c r="I25" s="14" t="str">
        <f t="shared" ref="I25:I50" si="2">IF(ISNUMBER(G25), G25/F25,"")</f>
        <v/>
      </c>
    </row>
    <row r="26" spans="2:11" x14ac:dyDescent="0.2">
      <c r="C26" s="11" t="s">
        <v>20</v>
      </c>
      <c r="D26" s="11" t="s">
        <v>21</v>
      </c>
      <c r="E26" s="12">
        <f>$D$18*0.8</f>
        <v>4</v>
      </c>
      <c r="F26" s="13">
        <f t="shared" si="0"/>
        <v>4</v>
      </c>
      <c r="G26" s="12">
        <f>GETPIVOTDATA("Workload",Tableau!$A$1,"What","LRN.ING.CRS")</f>
        <v>4</v>
      </c>
      <c r="H26" s="30">
        <f t="shared" si="1"/>
        <v>0</v>
      </c>
      <c r="I26" s="14">
        <f t="shared" si="2"/>
        <v>1</v>
      </c>
      <c r="J26" s="23">
        <f t="shared" ref="J26:J32" si="3">(E26/$E$51)</f>
        <v>6.6666666666666666E-2</v>
      </c>
      <c r="K26">
        <f>IF(F26=E26,,E26-F26)</f>
        <v>0</v>
      </c>
    </row>
    <row r="27" spans="2:11" x14ac:dyDescent="0.2">
      <c r="C27" s="11" t="s">
        <v>22</v>
      </c>
      <c r="D27" s="11" t="s">
        <v>23</v>
      </c>
      <c r="E27" s="12">
        <f>$D$18*(0.2*6)</f>
        <v>6.0000000000000009</v>
      </c>
      <c r="F27" s="13">
        <f>IF(ISNUMBER(E27),E27,IF(ISNUMBER(G27),G27,""))</f>
        <v>6.0000000000000009</v>
      </c>
      <c r="G27" s="12">
        <f>GETPIVOTDATA("Workload",Tableau!$A$1,"What","LRN.ING.TD")</f>
        <v>6</v>
      </c>
      <c r="H27" s="30">
        <f t="shared" si="1"/>
        <v>8.8817841970012523E-16</v>
      </c>
      <c r="I27" s="14">
        <f t="shared" si="2"/>
        <v>0.99999999999999989</v>
      </c>
      <c r="J27" s="23">
        <f t="shared" si="3"/>
        <v>0.10000000000000002</v>
      </c>
      <c r="K27">
        <f t="shared" ref="K27:K47" si="4">IF(F27=E27,,E27-F27)</f>
        <v>0</v>
      </c>
    </row>
    <row r="28" spans="2:11" x14ac:dyDescent="0.2">
      <c r="C28" s="11" t="s">
        <v>24</v>
      </c>
      <c r="D28" s="11" t="s">
        <v>25</v>
      </c>
      <c r="E28" s="12">
        <f>$D$18*0.4</f>
        <v>2</v>
      </c>
      <c r="F28" s="13">
        <f t="shared" si="0"/>
        <v>2</v>
      </c>
      <c r="G28" s="12">
        <f>GETPIVOTDATA("Workload",Tableau!$A$1,"What","LRN.TRK.CRS")</f>
        <v>2</v>
      </c>
      <c r="H28" s="30">
        <f t="shared" si="1"/>
        <v>0</v>
      </c>
      <c r="I28" s="14">
        <f t="shared" si="2"/>
        <v>1</v>
      </c>
      <c r="J28" s="23">
        <f t="shared" si="3"/>
        <v>3.3333333333333333E-2</v>
      </c>
      <c r="K28">
        <f t="shared" si="4"/>
        <v>0</v>
      </c>
    </row>
    <row r="29" spans="2:11" x14ac:dyDescent="0.2">
      <c r="C29" s="11" t="s">
        <v>26</v>
      </c>
      <c r="D29" s="11" t="s">
        <v>27</v>
      </c>
      <c r="E29" s="12">
        <f>$D$18*(0.2*4)</f>
        <v>4</v>
      </c>
      <c r="F29" s="13">
        <f t="shared" si="0"/>
        <v>4</v>
      </c>
      <c r="G29" s="12">
        <f>GETPIVOTDATA("Workload",Tableau!$A$1,"What","LRN.TRK.TD")</f>
        <v>4</v>
      </c>
      <c r="H29" s="30">
        <f t="shared" si="1"/>
        <v>0</v>
      </c>
      <c r="I29" s="14">
        <f t="shared" si="2"/>
        <v>1</v>
      </c>
      <c r="J29" s="23">
        <f t="shared" si="3"/>
        <v>6.6666666666666666E-2</v>
      </c>
      <c r="K29">
        <f t="shared" si="4"/>
        <v>0</v>
      </c>
    </row>
    <row r="30" spans="2:11" x14ac:dyDescent="0.2">
      <c r="C30" t="s">
        <v>28</v>
      </c>
      <c r="D30" t="s">
        <v>29</v>
      </c>
      <c r="E30">
        <v>0.5</v>
      </c>
      <c r="F30" s="13">
        <v>0.5</v>
      </c>
      <c r="G30" s="12">
        <f>GETPIVOTDATA("Workload",Tableau!$A$1,"What","MGT")</f>
        <v>0.5</v>
      </c>
      <c r="H30" s="30">
        <f t="shared" si="1"/>
        <v>0</v>
      </c>
      <c r="I30" s="14">
        <f t="shared" si="2"/>
        <v>1</v>
      </c>
      <c r="J30" s="23">
        <f t="shared" si="3"/>
        <v>8.3333333333333332E-3</v>
      </c>
      <c r="K30">
        <f t="shared" si="4"/>
        <v>0</v>
      </c>
    </row>
    <row r="31" spans="2:11" x14ac:dyDescent="0.2">
      <c r="C31" t="s">
        <v>30</v>
      </c>
      <c r="D31" t="s">
        <v>31</v>
      </c>
      <c r="E31">
        <f>((0.2)*8)*D18</f>
        <v>8</v>
      </c>
      <c r="F31" s="13">
        <f t="shared" si="0"/>
        <v>8</v>
      </c>
      <c r="G31">
        <f>GETPIVOTDATA("Workload",Tableau!$A$1,"What","MGT.MET")</f>
        <v>8</v>
      </c>
      <c r="H31" s="30">
        <f>IF(ISNUMBER(F31), F31-G31,"")</f>
        <v>0</v>
      </c>
      <c r="I31" s="14">
        <f t="shared" si="2"/>
        <v>1</v>
      </c>
      <c r="J31" s="23">
        <f t="shared" si="3"/>
        <v>0.13333333333333333</v>
      </c>
      <c r="K31">
        <f t="shared" si="4"/>
        <v>0</v>
      </c>
    </row>
    <row r="32" spans="2:11" x14ac:dyDescent="0.2">
      <c r="C32" t="s">
        <v>32</v>
      </c>
      <c r="D32" t="s">
        <v>33</v>
      </c>
      <c r="E32">
        <v>2.4</v>
      </c>
      <c r="F32" s="13">
        <v>2.5</v>
      </c>
      <c r="G32">
        <f>GETPIVOTDATA("Workload",Tableau!$A$1,"What","MGT.TRK")</f>
        <v>2.5</v>
      </c>
      <c r="H32" s="30">
        <f t="shared" si="1"/>
        <v>0</v>
      </c>
      <c r="I32" s="14">
        <f t="shared" si="2"/>
        <v>1</v>
      </c>
      <c r="J32" s="23">
        <f t="shared" si="3"/>
        <v>0.04</v>
      </c>
      <c r="K32">
        <f t="shared" si="4"/>
        <v>-0.10000000000000009</v>
      </c>
    </row>
    <row r="33" spans="3:11" x14ac:dyDescent="0.2">
      <c r="C33" t="s">
        <v>34</v>
      </c>
      <c r="D33" t="s">
        <v>35</v>
      </c>
      <c r="F33" s="13"/>
      <c r="H33" s="30"/>
      <c r="I33" s="14" t="str">
        <f t="shared" si="2"/>
        <v/>
      </c>
      <c r="J33" s="23"/>
    </row>
    <row r="34" spans="3:11" x14ac:dyDescent="0.2">
      <c r="C34" t="s">
        <v>36</v>
      </c>
      <c r="D34" t="s">
        <v>37</v>
      </c>
      <c r="E34">
        <f>D18*0.5</f>
        <v>2.5</v>
      </c>
      <c r="F34" s="13">
        <v>2.6</v>
      </c>
      <c r="G34">
        <f>GETPIVOTDATA("Workload",Tableau!$A$1,"What","DOC.TRK")</f>
        <v>2.6</v>
      </c>
      <c r="H34" s="30">
        <f t="shared" si="1"/>
        <v>0</v>
      </c>
      <c r="I34" s="14">
        <f t="shared" si="2"/>
        <v>1</v>
      </c>
      <c r="J34" s="23">
        <f>(E34/$E$51)</f>
        <v>4.1666666666666664E-2</v>
      </c>
      <c r="K34">
        <f t="shared" si="4"/>
        <v>-0.10000000000000009</v>
      </c>
    </row>
    <row r="35" spans="3:11" x14ac:dyDescent="0.2">
      <c r="C35" t="s">
        <v>38</v>
      </c>
      <c r="D35" t="s">
        <v>39</v>
      </c>
      <c r="E35">
        <f>0.9*1</f>
        <v>0.9</v>
      </c>
      <c r="F35" s="13">
        <f t="shared" si="0"/>
        <v>0.9</v>
      </c>
      <c r="G35">
        <f>GETPIVOTDATA("Workload",Tableau!$A$1,"What","DOC.USR")</f>
        <v>0.89999999999999991</v>
      </c>
      <c r="H35" s="30">
        <f t="shared" si="1"/>
        <v>1.1102230246251565E-16</v>
      </c>
      <c r="I35" s="14">
        <f t="shared" si="2"/>
        <v>0.99999999999999989</v>
      </c>
      <c r="J35" s="23">
        <f>(E35/$E$51)</f>
        <v>1.5000000000000001E-2</v>
      </c>
      <c r="K35">
        <f t="shared" si="4"/>
        <v>0</v>
      </c>
    </row>
    <row r="36" spans="3:11" x14ac:dyDescent="0.2">
      <c r="C36" t="s">
        <v>77</v>
      </c>
      <c r="D36" t="s">
        <v>78</v>
      </c>
      <c r="E36">
        <f>0.5*2</f>
        <v>1</v>
      </c>
      <c r="F36" s="13">
        <f t="shared" si="0"/>
        <v>1</v>
      </c>
      <c r="G36">
        <f>GETPIVOTDATA("Workload",Tableau!$A$1,"What","CONCEPTION")</f>
        <v>1</v>
      </c>
      <c r="H36" s="30">
        <f t="shared" si="1"/>
        <v>0</v>
      </c>
      <c r="I36" s="14">
        <f t="shared" si="2"/>
        <v>1</v>
      </c>
      <c r="J36" s="23">
        <f>(E36/$E$51)</f>
        <v>1.6666666666666666E-2</v>
      </c>
      <c r="K36">
        <f t="shared" si="4"/>
        <v>0</v>
      </c>
    </row>
    <row r="37" spans="3:11" x14ac:dyDescent="0.2">
      <c r="C37" t="s">
        <v>40</v>
      </c>
      <c r="D37" t="s">
        <v>41</v>
      </c>
      <c r="F37" s="13" t="str">
        <f t="shared" si="0"/>
        <v/>
      </c>
      <c r="H37" s="30" t="str">
        <f t="shared" si="1"/>
        <v/>
      </c>
      <c r="I37" s="14" t="str">
        <f t="shared" si="2"/>
        <v/>
      </c>
      <c r="J37" s="23"/>
    </row>
    <row r="38" spans="3:11" x14ac:dyDescent="0.2">
      <c r="C38" t="s">
        <v>42</v>
      </c>
      <c r="D38" t="s">
        <v>119</v>
      </c>
      <c r="E38">
        <v>2.2000000000000002</v>
      </c>
      <c r="F38" s="13">
        <v>2.2000000000000002</v>
      </c>
      <c r="G38">
        <f>GETPIVOTDATA("Workload",Tableau!$A$1,"What","DEV.SRV")</f>
        <v>2.1999999999999997</v>
      </c>
      <c r="H38" s="30">
        <f t="shared" si="1"/>
        <v>4.4408920985006262E-16</v>
      </c>
      <c r="I38" s="14">
        <f t="shared" si="2"/>
        <v>0.99999999999999978</v>
      </c>
      <c r="J38" s="23">
        <f t="shared" ref="J38:J43" si="5">(E38/$E$51)</f>
        <v>3.6666666666666667E-2</v>
      </c>
      <c r="K38">
        <f t="shared" si="4"/>
        <v>0</v>
      </c>
    </row>
    <row r="39" spans="3:11" x14ac:dyDescent="0.2">
      <c r="C39" t="s">
        <v>96</v>
      </c>
      <c r="D39" t="s">
        <v>101</v>
      </c>
      <c r="E39">
        <v>4</v>
      </c>
      <c r="F39" s="13">
        <v>4.0999999999999996</v>
      </c>
      <c r="G39">
        <f>GETPIVOTDATA("Workload",Tableau!$A$1,"What","DEV.PARTIE")</f>
        <v>4.0999999999999996</v>
      </c>
      <c r="H39" s="30">
        <f t="shared" ref="H39:H40" si="6">IF(ISNUMBER(F39), F39-G39,"")</f>
        <v>0</v>
      </c>
      <c r="I39" s="14">
        <f t="shared" ref="I39:I40" si="7">IF(ISNUMBER(G39), G39/F39,"")</f>
        <v>1</v>
      </c>
      <c r="J39" s="23">
        <f t="shared" si="5"/>
        <v>6.6666666666666666E-2</v>
      </c>
      <c r="K39">
        <f t="shared" si="4"/>
        <v>-9.9999999999999645E-2</v>
      </c>
    </row>
    <row r="40" spans="3:11" x14ac:dyDescent="0.2">
      <c r="C40" t="s">
        <v>97</v>
      </c>
      <c r="D40" t="s">
        <v>102</v>
      </c>
      <c r="E40">
        <v>4</v>
      </c>
      <c r="F40" s="13">
        <v>4.6500000000000004</v>
      </c>
      <c r="G40">
        <f>GETPIVOTDATA("Workload",Tableau!$A$1,"What","DEV.ANAGRAMMEUR")</f>
        <v>4.6500000000000004</v>
      </c>
      <c r="H40" s="30">
        <f t="shared" si="6"/>
        <v>0</v>
      </c>
      <c r="I40" s="14">
        <f t="shared" si="7"/>
        <v>1</v>
      </c>
      <c r="J40" s="23">
        <f t="shared" si="5"/>
        <v>6.6666666666666666E-2</v>
      </c>
      <c r="K40">
        <f t="shared" si="4"/>
        <v>-0.65000000000000036</v>
      </c>
    </row>
    <row r="41" spans="3:11" x14ac:dyDescent="0.2">
      <c r="C41" t="s">
        <v>98</v>
      </c>
      <c r="D41" t="s">
        <v>103</v>
      </c>
      <c r="E41">
        <v>4.5</v>
      </c>
      <c r="F41" s="13">
        <v>4.3499999999999996</v>
      </c>
      <c r="G41">
        <f>GETPIVOTDATA("Workload",Tableau!$A$1,"What","DEV.APPARIEMENT")</f>
        <v>4.3499999999999996</v>
      </c>
      <c r="H41" s="30">
        <f t="shared" si="1"/>
        <v>0</v>
      </c>
      <c r="I41" s="14">
        <f t="shared" si="2"/>
        <v>1</v>
      </c>
      <c r="J41" s="23">
        <f t="shared" si="5"/>
        <v>7.4999999999999997E-2</v>
      </c>
      <c r="K41">
        <f t="shared" si="4"/>
        <v>0.15000000000000036</v>
      </c>
    </row>
    <row r="42" spans="3:11" x14ac:dyDescent="0.2">
      <c r="C42" t="s">
        <v>100</v>
      </c>
      <c r="D42" t="s">
        <v>104</v>
      </c>
      <c r="E42">
        <v>5</v>
      </c>
      <c r="F42" s="13">
        <v>4.3</v>
      </c>
      <c r="G42">
        <f>GETPIVOTDATA("Workload",Tableau!$A$1,"What","DEV.COMMUN")</f>
        <v>4.3</v>
      </c>
      <c r="H42" s="30">
        <f t="shared" ref="H42" si="8">IF(ISNUMBER(F42), F42-G42,"")</f>
        <v>0</v>
      </c>
      <c r="I42" s="14">
        <f t="shared" ref="I42" si="9">IF(ISNUMBER(G42), G42/F42,"")</f>
        <v>1</v>
      </c>
      <c r="J42" s="23">
        <f t="shared" si="5"/>
        <v>8.3333333333333329E-2</v>
      </c>
      <c r="K42">
        <f t="shared" si="4"/>
        <v>0.70000000000000018</v>
      </c>
    </row>
    <row r="43" spans="3:11" x14ac:dyDescent="0.2">
      <c r="C43" t="s">
        <v>99</v>
      </c>
      <c r="D43" t="s">
        <v>105</v>
      </c>
      <c r="E43">
        <v>3</v>
      </c>
      <c r="F43" s="13">
        <v>2.35</v>
      </c>
      <c r="G43">
        <f>GETPIVOTDATA("Workload",Tableau!$A$1,"What","DEV.JOUEUR")</f>
        <v>2.35</v>
      </c>
      <c r="H43" s="30">
        <f t="shared" si="1"/>
        <v>0</v>
      </c>
      <c r="I43" s="14">
        <f t="shared" si="2"/>
        <v>1</v>
      </c>
      <c r="J43" s="23">
        <f t="shared" si="5"/>
        <v>0.05</v>
      </c>
      <c r="K43">
        <f t="shared" si="4"/>
        <v>0.64999999999999991</v>
      </c>
    </row>
    <row r="44" spans="3:11" x14ac:dyDescent="0.2">
      <c r="C44" t="s">
        <v>68</v>
      </c>
      <c r="D44" t="s">
        <v>72</v>
      </c>
      <c r="F44" s="13"/>
      <c r="H44" s="30"/>
      <c r="I44" s="14"/>
      <c r="J44" s="23"/>
    </row>
    <row r="45" spans="3:11" x14ac:dyDescent="0.2">
      <c r="C45" t="s">
        <v>106</v>
      </c>
      <c r="D45" t="s">
        <v>71</v>
      </c>
      <c r="E45">
        <f>0.5*D18</f>
        <v>2.5</v>
      </c>
      <c r="F45">
        <v>1.8</v>
      </c>
      <c r="G45">
        <f>GETPIVOTDATA("Workload",Tableau!$A$1,"What","TEST.UNITAIRE")</f>
        <v>1.8</v>
      </c>
      <c r="H45" s="30">
        <f t="shared" si="1"/>
        <v>0</v>
      </c>
      <c r="I45" s="14">
        <f t="shared" si="2"/>
        <v>1</v>
      </c>
      <c r="J45" s="23">
        <f>(E45/$E$51)</f>
        <v>4.1666666666666664E-2</v>
      </c>
      <c r="K45">
        <f t="shared" si="4"/>
        <v>0.7</v>
      </c>
    </row>
    <row r="46" spans="3:11" x14ac:dyDescent="0.2">
      <c r="C46" t="s">
        <v>107</v>
      </c>
      <c r="D46" t="s">
        <v>70</v>
      </c>
      <c r="E46">
        <v>3</v>
      </c>
      <c r="F46">
        <f>0.61*D18</f>
        <v>3.05</v>
      </c>
      <c r="G46">
        <f>GETPIVOTDATA("Workload",Tableau!$A$1,"What","TEST.INTEGRATION")</f>
        <v>3.05</v>
      </c>
      <c r="H46" s="30">
        <f t="shared" si="1"/>
        <v>0</v>
      </c>
      <c r="I46" s="14">
        <f t="shared" si="2"/>
        <v>1</v>
      </c>
      <c r="J46" s="23">
        <f>(E46/$E$51)</f>
        <v>0.05</v>
      </c>
      <c r="K46">
        <f t="shared" si="4"/>
        <v>-4.9999999999999822E-2</v>
      </c>
    </row>
    <row r="47" spans="3:11" x14ac:dyDescent="0.2">
      <c r="C47" t="s">
        <v>108</v>
      </c>
      <c r="D47" t="s">
        <v>69</v>
      </c>
      <c r="E47">
        <f>D18*0.1</f>
        <v>0.5</v>
      </c>
      <c r="F47">
        <v>0.5</v>
      </c>
      <c r="G47">
        <f>GETPIVOTDATA("Workload",Tableau!$A$1,"What","TEST.CI")</f>
        <v>0.5</v>
      </c>
      <c r="H47" s="30">
        <f t="shared" si="1"/>
        <v>0</v>
      </c>
      <c r="I47" s="14">
        <f t="shared" si="2"/>
        <v>1</v>
      </c>
      <c r="J47" s="23">
        <f>(E47/$E$51)</f>
        <v>8.3333333333333332E-3</v>
      </c>
      <c r="K47">
        <f t="shared" si="4"/>
        <v>0</v>
      </c>
    </row>
    <row r="48" spans="3:11" x14ac:dyDescent="0.2">
      <c r="C48" t="s">
        <v>43</v>
      </c>
      <c r="D48" t="s">
        <v>44</v>
      </c>
      <c r="F48" s="13" t="str">
        <f t="shared" si="0"/>
        <v/>
      </c>
      <c r="H48" s="12" t="str">
        <f t="shared" si="1"/>
        <v/>
      </c>
      <c r="I48" s="14" t="str">
        <f t="shared" si="2"/>
        <v/>
      </c>
      <c r="J48" s="23"/>
    </row>
    <row r="49" spans="3:11" x14ac:dyDescent="0.2">
      <c r="C49" t="s">
        <v>45</v>
      </c>
      <c r="D49" t="s">
        <v>46</v>
      </c>
      <c r="F49" s="13" t="str">
        <f t="shared" si="0"/>
        <v/>
      </c>
      <c r="H49" s="12" t="str">
        <f t="shared" si="1"/>
        <v/>
      </c>
      <c r="I49" s="14" t="str">
        <f t="shared" si="2"/>
        <v/>
      </c>
      <c r="J49" s="23"/>
    </row>
    <row r="50" spans="3:11" x14ac:dyDescent="0.2">
      <c r="C50" t="s">
        <v>47</v>
      </c>
      <c r="D50" t="s">
        <v>48</v>
      </c>
      <c r="F50" s="13" t="str">
        <f t="shared" si="0"/>
        <v/>
      </c>
      <c r="H50" s="12" t="str">
        <f t="shared" si="1"/>
        <v/>
      </c>
      <c r="I50" s="14" t="str">
        <f t="shared" si="2"/>
        <v/>
      </c>
      <c r="J50" s="23"/>
    </row>
    <row r="51" spans="3:11" x14ac:dyDescent="0.2">
      <c r="D51" s="3" t="s">
        <v>49</v>
      </c>
      <c r="E51" s="15">
        <f>SUM(E24:E50)</f>
        <v>60</v>
      </c>
      <c r="F51" s="15">
        <f>SUM(F24:F50)</f>
        <v>58.8</v>
      </c>
      <c r="G51" s="3">
        <f>SUM(G24:G50)</f>
        <v>58.8</v>
      </c>
      <c r="H51" s="38">
        <f>SUM(H24:H50)</f>
        <v>1.4432899320127035E-15</v>
      </c>
      <c r="I51" s="16">
        <f>G51/(G51+H51)</f>
        <v>1</v>
      </c>
      <c r="J51" s="36">
        <f>SUM(J26:J50)</f>
        <v>1</v>
      </c>
      <c r="K51" s="3">
        <f>D7-E51</f>
        <v>0</v>
      </c>
    </row>
    <row r="54" spans="3:11" ht="26.25" x14ac:dyDescent="0.25">
      <c r="C54" s="31" t="s">
        <v>145</v>
      </c>
      <c r="D54" s="37">
        <f ca="1">DATEVALUE("27/06/2022")-TODAY()</f>
        <v>3</v>
      </c>
    </row>
    <row r="55" spans="3:11" ht="15.75" x14ac:dyDescent="0.25">
      <c r="C55" s="32" t="s">
        <v>146</v>
      </c>
      <c r="D55" s="37">
        <f>H51/D18</f>
        <v>2.8865798640254071E-16</v>
      </c>
    </row>
    <row r="56" spans="3:11" ht="26.25" x14ac:dyDescent="0.25">
      <c r="C56" s="31" t="s">
        <v>152</v>
      </c>
      <c r="D56" s="33">
        <f>H51-(D57*D18)</f>
        <v>-9.9999999999999982</v>
      </c>
    </row>
    <row r="57" spans="3:11" ht="39" x14ac:dyDescent="0.25">
      <c r="C57" s="31" t="s">
        <v>151</v>
      </c>
      <c r="D57" s="33">
        <v>2</v>
      </c>
    </row>
  </sheetData>
  <conditionalFormatting sqref="I26:I47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5 I38 I2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">
    <cfRule type="colorScale" priority="4">
      <colorScale>
        <cfvo type="min"/>
        <cfvo type="max"/>
        <color rgb="FF63BE7B"/>
        <color rgb="FFFFEF9C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7">
    <cfRule type="cellIs" dxfId="3" priority="3" operator="greaterThan">
      <formula>0</formula>
    </cfRule>
    <cfRule type="cellIs" dxfId="2" priority="2" operator="lessThan">
      <formula>0</formula>
    </cfRule>
  </conditionalFormatting>
  <pageMargins left="0" right="0" top="0.39370078740157483" bottom="0.39370078740157483" header="0" footer="0"/>
  <pageSetup orientation="portrait" r:id="rId1"/>
  <headerFooter>
    <oddHeader>&amp;C&amp;A</oddHeader>
    <oddFooter>&amp;CPage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265"/>
  <sheetViews>
    <sheetView topLeftCell="A3" workbookViewId="0">
      <selection activeCell="F265" sqref="D4:F265"/>
    </sheetView>
  </sheetViews>
  <sheetFormatPr baseColWidth="10" defaultRowHeight="12.75" x14ac:dyDescent="0.2"/>
  <cols>
    <col min="1" max="4" width="12.140625" customWidth="1"/>
    <col min="5" max="5" width="22.7109375" style="17" customWidth="1"/>
    <col min="6" max="6" width="12.140625" style="27" customWidth="1"/>
    <col min="7" max="7" width="52.5703125" customWidth="1"/>
    <col min="8" max="8" width="12.140625" customWidth="1"/>
  </cols>
  <sheetData>
    <row r="2" spans="2:8" ht="16.5" x14ac:dyDescent="0.25">
      <c r="B2" s="1" t="s">
        <v>50</v>
      </c>
    </row>
    <row r="4" spans="2:8" x14ac:dyDescent="0.2">
      <c r="C4" s="5" t="s">
        <v>51</v>
      </c>
      <c r="D4" s="5" t="s">
        <v>52</v>
      </c>
      <c r="E4" s="5" t="s">
        <v>53</v>
      </c>
      <c r="F4" s="28" t="s">
        <v>54</v>
      </c>
      <c r="G4" s="5" t="s">
        <v>55</v>
      </c>
      <c r="H4" s="5" t="s">
        <v>56</v>
      </c>
    </row>
    <row r="5" spans="2:8" x14ac:dyDescent="0.2">
      <c r="C5" s="18">
        <v>44683</v>
      </c>
      <c r="D5" s="17" t="s">
        <v>109</v>
      </c>
      <c r="E5" s="19" t="s">
        <v>20</v>
      </c>
      <c r="F5" s="25">
        <v>0.2</v>
      </c>
      <c r="G5" t="s">
        <v>57</v>
      </c>
    </row>
    <row r="6" spans="2:8" x14ac:dyDescent="0.2">
      <c r="C6" s="18">
        <v>44683</v>
      </c>
      <c r="D6" s="17" t="s">
        <v>110</v>
      </c>
      <c r="E6" s="19" t="s">
        <v>20</v>
      </c>
      <c r="F6" s="25">
        <v>0.2</v>
      </c>
      <c r="G6" t="s">
        <v>57</v>
      </c>
    </row>
    <row r="7" spans="2:8" x14ac:dyDescent="0.2">
      <c r="C7" s="18">
        <v>44683</v>
      </c>
      <c r="D7" s="17" t="s">
        <v>111</v>
      </c>
      <c r="E7" s="19" t="s">
        <v>20</v>
      </c>
      <c r="F7" s="25">
        <v>0.2</v>
      </c>
      <c r="G7" t="s">
        <v>57</v>
      </c>
    </row>
    <row r="8" spans="2:8" x14ac:dyDescent="0.2">
      <c r="C8" s="18">
        <v>44683</v>
      </c>
      <c r="D8" s="17" t="s">
        <v>112</v>
      </c>
      <c r="E8" s="19" t="s">
        <v>20</v>
      </c>
      <c r="F8" s="25">
        <v>0.2</v>
      </c>
      <c r="G8" t="s">
        <v>57</v>
      </c>
    </row>
    <row r="9" spans="2:8" x14ac:dyDescent="0.2">
      <c r="C9" s="18">
        <v>44683</v>
      </c>
      <c r="D9" s="17" t="s">
        <v>113</v>
      </c>
      <c r="E9" s="19" t="s">
        <v>20</v>
      </c>
      <c r="F9" s="25">
        <v>0.2</v>
      </c>
      <c r="G9" t="s">
        <v>57</v>
      </c>
    </row>
    <row r="10" spans="2:8" x14ac:dyDescent="0.2">
      <c r="C10" s="18">
        <v>44683</v>
      </c>
      <c r="D10" s="17" t="s">
        <v>109</v>
      </c>
      <c r="E10" s="19" t="s">
        <v>24</v>
      </c>
      <c r="F10" s="25">
        <v>0.2</v>
      </c>
      <c r="G10" t="s">
        <v>58</v>
      </c>
    </row>
    <row r="11" spans="2:8" x14ac:dyDescent="0.2">
      <c r="C11" s="18">
        <v>44683</v>
      </c>
      <c r="D11" s="17" t="s">
        <v>110</v>
      </c>
      <c r="E11" s="19" t="s">
        <v>24</v>
      </c>
      <c r="F11" s="25">
        <v>0.2</v>
      </c>
      <c r="G11" t="s">
        <v>58</v>
      </c>
    </row>
    <row r="12" spans="2:8" x14ac:dyDescent="0.2">
      <c r="C12" s="18">
        <v>44683</v>
      </c>
      <c r="D12" s="17" t="s">
        <v>111</v>
      </c>
      <c r="E12" s="19" t="s">
        <v>24</v>
      </c>
      <c r="F12" s="25">
        <v>0.2</v>
      </c>
      <c r="G12" t="s">
        <v>58</v>
      </c>
    </row>
    <row r="13" spans="2:8" x14ac:dyDescent="0.2">
      <c r="C13" s="18">
        <v>44683</v>
      </c>
      <c r="D13" s="17" t="s">
        <v>112</v>
      </c>
      <c r="E13" s="19" t="s">
        <v>24</v>
      </c>
      <c r="F13" s="25">
        <v>0.2</v>
      </c>
      <c r="G13" t="s">
        <v>58</v>
      </c>
    </row>
    <row r="14" spans="2:8" x14ac:dyDescent="0.2">
      <c r="C14" s="18">
        <v>44683</v>
      </c>
      <c r="D14" s="17" t="s">
        <v>113</v>
      </c>
      <c r="E14" s="19" t="s">
        <v>24</v>
      </c>
      <c r="F14" s="25">
        <v>0.2</v>
      </c>
      <c r="G14" t="s">
        <v>58</v>
      </c>
    </row>
    <row r="15" spans="2:8" x14ac:dyDescent="0.2">
      <c r="C15" s="18">
        <v>44684</v>
      </c>
      <c r="D15" s="17" t="s">
        <v>109</v>
      </c>
      <c r="E15" s="19" t="s">
        <v>20</v>
      </c>
      <c r="F15" s="25">
        <v>0.2</v>
      </c>
      <c r="G15" t="s">
        <v>59</v>
      </c>
    </row>
    <row r="16" spans="2:8" x14ac:dyDescent="0.2">
      <c r="C16" s="18">
        <v>44684</v>
      </c>
      <c r="D16" s="17" t="s">
        <v>110</v>
      </c>
      <c r="E16" s="19" t="s">
        <v>20</v>
      </c>
      <c r="F16" s="25">
        <v>0.2</v>
      </c>
      <c r="G16" t="s">
        <v>59</v>
      </c>
    </row>
    <row r="17" spans="3:7" x14ac:dyDescent="0.2">
      <c r="C17" s="18">
        <v>44684</v>
      </c>
      <c r="D17" s="17" t="s">
        <v>111</v>
      </c>
      <c r="E17" s="19" t="s">
        <v>20</v>
      </c>
      <c r="F17" s="25">
        <v>0.2</v>
      </c>
      <c r="G17" t="s">
        <v>59</v>
      </c>
    </row>
    <row r="18" spans="3:7" x14ac:dyDescent="0.2">
      <c r="C18" s="18">
        <v>44684</v>
      </c>
      <c r="D18" s="17" t="s">
        <v>112</v>
      </c>
      <c r="E18" s="19" t="s">
        <v>20</v>
      </c>
      <c r="F18" s="25">
        <v>0.2</v>
      </c>
      <c r="G18" t="s">
        <v>59</v>
      </c>
    </row>
    <row r="19" spans="3:7" x14ac:dyDescent="0.2">
      <c r="C19" s="18">
        <v>44684</v>
      </c>
      <c r="D19" s="17" t="s">
        <v>113</v>
      </c>
      <c r="E19" s="19" t="s">
        <v>20</v>
      </c>
      <c r="F19" s="25">
        <v>0.2</v>
      </c>
      <c r="G19" t="s">
        <v>59</v>
      </c>
    </row>
    <row r="20" spans="3:7" x14ac:dyDescent="0.2">
      <c r="C20" s="18">
        <v>44684</v>
      </c>
      <c r="D20" s="17" t="s">
        <v>109</v>
      </c>
      <c r="E20" s="19" t="s">
        <v>24</v>
      </c>
      <c r="F20" s="25">
        <v>0.2</v>
      </c>
      <c r="G20" t="s">
        <v>58</v>
      </c>
    </row>
    <row r="21" spans="3:7" x14ac:dyDescent="0.2">
      <c r="C21" s="18">
        <v>44684</v>
      </c>
      <c r="D21" s="17" t="s">
        <v>110</v>
      </c>
      <c r="E21" s="19" t="s">
        <v>24</v>
      </c>
      <c r="F21" s="25">
        <v>0.2</v>
      </c>
      <c r="G21" t="s">
        <v>58</v>
      </c>
    </row>
    <row r="22" spans="3:7" x14ac:dyDescent="0.2">
      <c r="C22" s="18">
        <v>44684</v>
      </c>
      <c r="D22" s="17" t="s">
        <v>111</v>
      </c>
      <c r="E22" s="19" t="s">
        <v>24</v>
      </c>
      <c r="F22" s="25">
        <v>0.2</v>
      </c>
      <c r="G22" t="s">
        <v>58</v>
      </c>
    </row>
    <row r="23" spans="3:7" x14ac:dyDescent="0.2">
      <c r="C23" s="18">
        <v>44684</v>
      </c>
      <c r="D23" s="17" t="s">
        <v>112</v>
      </c>
      <c r="E23" s="19" t="s">
        <v>24</v>
      </c>
      <c r="F23" s="25">
        <v>0.2</v>
      </c>
      <c r="G23" t="s">
        <v>58</v>
      </c>
    </row>
    <row r="24" spans="3:7" x14ac:dyDescent="0.2">
      <c r="C24" s="18">
        <v>44684</v>
      </c>
      <c r="D24" s="17" t="s">
        <v>113</v>
      </c>
      <c r="E24" s="19" t="s">
        <v>24</v>
      </c>
      <c r="F24" s="25">
        <v>0.2</v>
      </c>
      <c r="G24" t="s">
        <v>58</v>
      </c>
    </row>
    <row r="25" spans="3:7" x14ac:dyDescent="0.2">
      <c r="C25" s="18">
        <v>44685</v>
      </c>
      <c r="D25" s="17" t="s">
        <v>109</v>
      </c>
      <c r="E25" s="19" t="s">
        <v>28</v>
      </c>
      <c r="F25" s="25">
        <v>0.5</v>
      </c>
      <c r="G25" t="s">
        <v>66</v>
      </c>
    </row>
    <row r="26" spans="3:7" x14ac:dyDescent="0.2">
      <c r="C26" s="20">
        <v>44687</v>
      </c>
      <c r="D26" s="17" t="s">
        <v>109</v>
      </c>
      <c r="E26" s="17" t="s">
        <v>30</v>
      </c>
      <c r="F26" s="26">
        <v>0.2</v>
      </c>
      <c r="G26" t="s">
        <v>67</v>
      </c>
    </row>
    <row r="27" spans="3:7" x14ac:dyDescent="0.2">
      <c r="C27" s="20">
        <v>44687</v>
      </c>
      <c r="D27" s="17" t="s">
        <v>110</v>
      </c>
      <c r="E27" s="17" t="s">
        <v>30</v>
      </c>
      <c r="F27" s="26">
        <v>0.2</v>
      </c>
      <c r="G27" t="s">
        <v>67</v>
      </c>
    </row>
    <row r="28" spans="3:7" x14ac:dyDescent="0.2">
      <c r="C28" s="20">
        <v>44687</v>
      </c>
      <c r="D28" s="17" t="s">
        <v>111</v>
      </c>
      <c r="E28" s="17" t="s">
        <v>30</v>
      </c>
      <c r="F28" s="26">
        <v>0.2</v>
      </c>
      <c r="G28" t="s">
        <v>67</v>
      </c>
    </row>
    <row r="29" spans="3:7" x14ac:dyDescent="0.2">
      <c r="C29" s="20">
        <v>44687</v>
      </c>
      <c r="D29" s="17" t="s">
        <v>112</v>
      </c>
      <c r="E29" s="17" t="s">
        <v>30</v>
      </c>
      <c r="F29" s="26">
        <v>0.2</v>
      </c>
      <c r="G29" t="s">
        <v>67</v>
      </c>
    </row>
    <row r="30" spans="3:7" x14ac:dyDescent="0.2">
      <c r="C30" s="20">
        <v>44687</v>
      </c>
      <c r="D30" s="17" t="s">
        <v>113</v>
      </c>
      <c r="E30" s="17" t="s">
        <v>30</v>
      </c>
      <c r="F30" s="26">
        <v>0.2</v>
      </c>
      <c r="G30" t="s">
        <v>67</v>
      </c>
    </row>
    <row r="31" spans="3:7" x14ac:dyDescent="0.2">
      <c r="C31" s="20">
        <v>44688</v>
      </c>
      <c r="D31" s="17" t="s">
        <v>109</v>
      </c>
      <c r="E31" s="17" t="s">
        <v>30</v>
      </c>
      <c r="F31" s="26">
        <v>0.2</v>
      </c>
      <c r="G31" t="s">
        <v>73</v>
      </c>
    </row>
    <row r="32" spans="3:7" x14ac:dyDescent="0.2">
      <c r="C32" s="20">
        <v>44688</v>
      </c>
      <c r="D32" s="17" t="s">
        <v>110</v>
      </c>
      <c r="E32" s="17" t="s">
        <v>30</v>
      </c>
      <c r="F32" s="26">
        <v>0.2</v>
      </c>
      <c r="G32" t="s">
        <v>73</v>
      </c>
    </row>
    <row r="33" spans="3:7" x14ac:dyDescent="0.2">
      <c r="C33" s="20">
        <v>44690</v>
      </c>
      <c r="D33" s="17" t="s">
        <v>109</v>
      </c>
      <c r="E33" s="19" t="s">
        <v>22</v>
      </c>
      <c r="F33" s="25">
        <v>0.2</v>
      </c>
      <c r="G33" t="s">
        <v>123</v>
      </c>
    </row>
    <row r="34" spans="3:7" x14ac:dyDescent="0.2">
      <c r="C34" s="20">
        <v>44690</v>
      </c>
      <c r="D34" s="17" t="s">
        <v>110</v>
      </c>
      <c r="E34" s="19" t="s">
        <v>22</v>
      </c>
      <c r="F34" s="25">
        <v>0.2</v>
      </c>
      <c r="G34" t="s">
        <v>123</v>
      </c>
    </row>
    <row r="35" spans="3:7" x14ac:dyDescent="0.2">
      <c r="C35" s="20">
        <v>44690</v>
      </c>
      <c r="D35" s="17" t="s">
        <v>111</v>
      </c>
      <c r="E35" s="19" t="s">
        <v>22</v>
      </c>
      <c r="F35" s="25">
        <v>0.2</v>
      </c>
      <c r="G35" t="s">
        <v>123</v>
      </c>
    </row>
    <row r="36" spans="3:7" x14ac:dyDescent="0.2">
      <c r="C36" s="20">
        <v>44690</v>
      </c>
      <c r="D36" s="17" t="s">
        <v>112</v>
      </c>
      <c r="E36" s="19" t="s">
        <v>22</v>
      </c>
      <c r="F36" s="25">
        <v>0.2</v>
      </c>
      <c r="G36" t="s">
        <v>123</v>
      </c>
    </row>
    <row r="37" spans="3:7" x14ac:dyDescent="0.2">
      <c r="C37" s="20">
        <v>44690</v>
      </c>
      <c r="D37" s="17" t="s">
        <v>113</v>
      </c>
      <c r="E37" s="19" t="s">
        <v>22</v>
      </c>
      <c r="F37" s="25">
        <v>0.2</v>
      </c>
      <c r="G37" t="s">
        <v>123</v>
      </c>
    </row>
    <row r="38" spans="3:7" x14ac:dyDescent="0.2">
      <c r="C38" s="20">
        <v>44690</v>
      </c>
      <c r="D38" s="17" t="s">
        <v>109</v>
      </c>
      <c r="E38" s="17" t="s">
        <v>42</v>
      </c>
      <c r="F38" s="26">
        <v>0.2</v>
      </c>
      <c r="G38" t="s">
        <v>75</v>
      </c>
    </row>
    <row r="39" spans="3:7" x14ac:dyDescent="0.2">
      <c r="C39" s="20">
        <v>44690</v>
      </c>
      <c r="D39" s="17" t="s">
        <v>110</v>
      </c>
      <c r="E39" s="17" t="s">
        <v>42</v>
      </c>
      <c r="F39" s="26">
        <v>0.2</v>
      </c>
      <c r="G39" t="s">
        <v>75</v>
      </c>
    </row>
    <row r="40" spans="3:7" x14ac:dyDescent="0.2">
      <c r="C40" s="20">
        <v>44690</v>
      </c>
      <c r="D40" s="17" t="s">
        <v>111</v>
      </c>
      <c r="E40" s="17" t="s">
        <v>42</v>
      </c>
      <c r="F40" s="26">
        <v>0.2</v>
      </c>
      <c r="G40" t="s">
        <v>75</v>
      </c>
    </row>
    <row r="41" spans="3:7" ht="12.6" customHeight="1" x14ac:dyDescent="0.2">
      <c r="C41" s="20">
        <v>44690</v>
      </c>
      <c r="D41" s="17" t="s">
        <v>112</v>
      </c>
      <c r="E41" s="17" t="s">
        <v>42</v>
      </c>
      <c r="F41" s="26">
        <v>0.2</v>
      </c>
      <c r="G41" t="s">
        <v>75</v>
      </c>
    </row>
    <row r="42" spans="3:7" x14ac:dyDescent="0.2">
      <c r="C42" s="20">
        <v>44690</v>
      </c>
      <c r="D42" s="17" t="s">
        <v>113</v>
      </c>
      <c r="E42" s="17" t="s">
        <v>42</v>
      </c>
      <c r="F42" s="26">
        <v>0.2</v>
      </c>
      <c r="G42" t="s">
        <v>75</v>
      </c>
    </row>
    <row r="43" spans="3:7" x14ac:dyDescent="0.2">
      <c r="C43" s="20">
        <v>44691</v>
      </c>
      <c r="D43" s="17" t="s">
        <v>109</v>
      </c>
      <c r="E43" s="17" t="s">
        <v>77</v>
      </c>
      <c r="F43" s="26">
        <v>0.1</v>
      </c>
      <c r="G43" t="s">
        <v>82</v>
      </c>
    </row>
    <row r="44" spans="3:7" x14ac:dyDescent="0.2">
      <c r="C44" s="20">
        <v>44691</v>
      </c>
      <c r="D44" s="17" t="s">
        <v>110</v>
      </c>
      <c r="E44" s="17" t="s">
        <v>77</v>
      </c>
      <c r="F44" s="26">
        <v>0.1</v>
      </c>
      <c r="G44" t="s">
        <v>82</v>
      </c>
    </row>
    <row r="45" spans="3:7" x14ac:dyDescent="0.2">
      <c r="C45" s="20">
        <v>44691</v>
      </c>
      <c r="D45" s="17" t="s">
        <v>111</v>
      </c>
      <c r="E45" s="17" t="s">
        <v>77</v>
      </c>
      <c r="F45" s="26">
        <v>0.1</v>
      </c>
      <c r="G45" t="s">
        <v>82</v>
      </c>
    </row>
    <row r="46" spans="3:7" x14ac:dyDescent="0.2">
      <c r="C46" s="20">
        <v>44691</v>
      </c>
      <c r="D46" s="17" t="s">
        <v>112</v>
      </c>
      <c r="E46" s="17" t="s">
        <v>77</v>
      </c>
      <c r="F46" s="26">
        <v>0.1</v>
      </c>
      <c r="G46" t="s">
        <v>82</v>
      </c>
    </row>
    <row r="47" spans="3:7" x14ac:dyDescent="0.2">
      <c r="C47" s="20">
        <v>44691</v>
      </c>
      <c r="D47" s="17" t="s">
        <v>113</v>
      </c>
      <c r="E47" s="17" t="s">
        <v>77</v>
      </c>
      <c r="F47" s="26">
        <v>0.1</v>
      </c>
      <c r="G47" t="s">
        <v>82</v>
      </c>
    </row>
    <row r="48" spans="3:7" x14ac:dyDescent="0.2">
      <c r="C48" s="20">
        <v>44691</v>
      </c>
      <c r="D48" s="17" t="s">
        <v>110</v>
      </c>
      <c r="E48" s="17" t="s">
        <v>99</v>
      </c>
      <c r="F48" s="26">
        <v>0.2</v>
      </c>
      <c r="G48" t="s">
        <v>129</v>
      </c>
    </row>
    <row r="49" spans="3:7" x14ac:dyDescent="0.2">
      <c r="C49" s="20">
        <v>44691</v>
      </c>
      <c r="D49" s="17" t="s">
        <v>113</v>
      </c>
      <c r="E49" s="17" t="s">
        <v>99</v>
      </c>
      <c r="F49" s="26">
        <v>0.2</v>
      </c>
      <c r="G49" t="s">
        <v>129</v>
      </c>
    </row>
    <row r="50" spans="3:7" x14ac:dyDescent="0.2">
      <c r="C50" s="20">
        <v>44691</v>
      </c>
      <c r="D50" s="17" t="s">
        <v>109</v>
      </c>
      <c r="E50" s="17" t="s">
        <v>100</v>
      </c>
      <c r="F50" s="26">
        <v>0.2</v>
      </c>
      <c r="G50" t="s">
        <v>130</v>
      </c>
    </row>
    <row r="51" spans="3:7" x14ac:dyDescent="0.2">
      <c r="C51" s="20">
        <v>44691</v>
      </c>
      <c r="D51" s="17" t="s">
        <v>112</v>
      </c>
      <c r="E51" s="17" t="s">
        <v>100</v>
      </c>
      <c r="F51" s="26">
        <v>0.2</v>
      </c>
      <c r="G51" t="s">
        <v>130</v>
      </c>
    </row>
    <row r="52" spans="3:7" x14ac:dyDescent="0.2">
      <c r="C52" s="20">
        <v>44691</v>
      </c>
      <c r="D52" s="17" t="s">
        <v>111</v>
      </c>
      <c r="E52" s="17" t="s">
        <v>97</v>
      </c>
      <c r="F52" s="26">
        <v>0.2</v>
      </c>
      <c r="G52" t="s">
        <v>131</v>
      </c>
    </row>
    <row r="53" spans="3:7" x14ac:dyDescent="0.2">
      <c r="C53" s="20">
        <v>44692</v>
      </c>
      <c r="D53" s="17" t="s">
        <v>109</v>
      </c>
      <c r="E53" s="17" t="s">
        <v>42</v>
      </c>
      <c r="F53" s="26">
        <v>0.2</v>
      </c>
      <c r="G53" t="s">
        <v>76</v>
      </c>
    </row>
    <row r="54" spans="3:7" x14ac:dyDescent="0.2">
      <c r="C54" s="20">
        <v>44692</v>
      </c>
      <c r="D54" s="17" t="s">
        <v>110</v>
      </c>
      <c r="E54" s="17" t="s">
        <v>42</v>
      </c>
      <c r="F54" s="26">
        <v>0.2</v>
      </c>
      <c r="G54" t="s">
        <v>76</v>
      </c>
    </row>
    <row r="55" spans="3:7" x14ac:dyDescent="0.2">
      <c r="C55" s="20">
        <v>44692</v>
      </c>
      <c r="D55" s="17" t="s">
        <v>111</v>
      </c>
      <c r="E55" s="17" t="s">
        <v>42</v>
      </c>
      <c r="F55" s="26">
        <v>0.2</v>
      </c>
      <c r="G55" t="s">
        <v>76</v>
      </c>
    </row>
    <row r="56" spans="3:7" x14ac:dyDescent="0.2">
      <c r="C56" s="20">
        <v>44692</v>
      </c>
      <c r="D56" s="17" t="s">
        <v>112</v>
      </c>
      <c r="E56" s="17" t="s">
        <v>42</v>
      </c>
      <c r="F56" s="26">
        <v>0.2</v>
      </c>
      <c r="G56" t="s">
        <v>76</v>
      </c>
    </row>
    <row r="57" spans="3:7" x14ac:dyDescent="0.2">
      <c r="C57" s="20">
        <v>44692</v>
      </c>
      <c r="D57" s="17" t="s">
        <v>113</v>
      </c>
      <c r="E57" s="17" t="s">
        <v>42</v>
      </c>
      <c r="F57" s="26">
        <v>0.2</v>
      </c>
      <c r="G57" t="s">
        <v>76</v>
      </c>
    </row>
    <row r="58" spans="3:7" x14ac:dyDescent="0.2">
      <c r="C58" s="20">
        <v>44692</v>
      </c>
      <c r="D58" s="17" t="s">
        <v>110</v>
      </c>
      <c r="E58" s="17" t="s">
        <v>108</v>
      </c>
      <c r="F58" s="26">
        <v>0.2</v>
      </c>
      <c r="G58" t="s">
        <v>132</v>
      </c>
    </row>
    <row r="59" spans="3:7" x14ac:dyDescent="0.2">
      <c r="C59" s="20">
        <v>44692</v>
      </c>
      <c r="D59" s="17" t="s">
        <v>109</v>
      </c>
      <c r="E59" s="17" t="s">
        <v>30</v>
      </c>
      <c r="F59" s="26">
        <v>0.2</v>
      </c>
      <c r="G59" t="s">
        <v>79</v>
      </c>
    </row>
    <row r="60" spans="3:7" x14ac:dyDescent="0.2">
      <c r="C60" s="20">
        <v>44692</v>
      </c>
      <c r="D60" s="17" t="s">
        <v>110</v>
      </c>
      <c r="E60" s="17" t="s">
        <v>30</v>
      </c>
      <c r="F60" s="26">
        <v>0.2</v>
      </c>
      <c r="G60" t="s">
        <v>79</v>
      </c>
    </row>
    <row r="61" spans="3:7" x14ac:dyDescent="0.2">
      <c r="C61" s="20">
        <v>44692</v>
      </c>
      <c r="D61" s="17" t="s">
        <v>111</v>
      </c>
      <c r="E61" s="17" t="s">
        <v>30</v>
      </c>
      <c r="F61" s="26">
        <v>0.2</v>
      </c>
      <c r="G61" t="s">
        <v>79</v>
      </c>
    </row>
    <row r="62" spans="3:7" x14ac:dyDescent="0.2">
      <c r="C62" s="20">
        <v>44692</v>
      </c>
      <c r="D62" s="17" t="s">
        <v>112</v>
      </c>
      <c r="E62" s="17" t="s">
        <v>30</v>
      </c>
      <c r="F62" s="26">
        <v>0.2</v>
      </c>
      <c r="G62" t="s">
        <v>79</v>
      </c>
    </row>
    <row r="63" spans="3:7" x14ac:dyDescent="0.2">
      <c r="C63" s="20">
        <v>44692</v>
      </c>
      <c r="D63" s="17" t="s">
        <v>109</v>
      </c>
      <c r="E63" s="17" t="s">
        <v>100</v>
      </c>
      <c r="F63" s="26">
        <v>0.2</v>
      </c>
      <c r="G63" t="s">
        <v>133</v>
      </c>
    </row>
    <row r="64" spans="3:7" x14ac:dyDescent="0.2">
      <c r="C64" s="20">
        <v>44692</v>
      </c>
      <c r="D64" s="17" t="s">
        <v>109</v>
      </c>
      <c r="E64" s="17" t="s">
        <v>108</v>
      </c>
      <c r="F64" s="26">
        <v>0.2</v>
      </c>
      <c r="G64" t="s">
        <v>134</v>
      </c>
    </row>
    <row r="65" spans="3:7" x14ac:dyDescent="0.2">
      <c r="C65" s="20">
        <v>44692</v>
      </c>
      <c r="D65" s="17" t="s">
        <v>111</v>
      </c>
      <c r="E65" s="17" t="s">
        <v>97</v>
      </c>
      <c r="F65" s="26">
        <v>0.2</v>
      </c>
      <c r="G65" t="s">
        <v>135</v>
      </c>
    </row>
    <row r="66" spans="3:7" x14ac:dyDescent="0.2">
      <c r="C66" s="20">
        <v>44693</v>
      </c>
      <c r="D66" s="17" t="s">
        <v>110</v>
      </c>
      <c r="E66" s="17" t="s">
        <v>99</v>
      </c>
      <c r="F66" s="26">
        <v>0.2</v>
      </c>
      <c r="G66" t="s">
        <v>136</v>
      </c>
    </row>
    <row r="67" spans="3:7" x14ac:dyDescent="0.2">
      <c r="C67" s="20">
        <v>44693</v>
      </c>
      <c r="D67" s="17" t="s">
        <v>112</v>
      </c>
      <c r="E67" s="17" t="s">
        <v>100</v>
      </c>
      <c r="F67" s="26">
        <v>0.4</v>
      </c>
      <c r="G67" t="s">
        <v>138</v>
      </c>
    </row>
    <row r="68" spans="3:7" x14ac:dyDescent="0.2">
      <c r="C68" s="20">
        <v>44693</v>
      </c>
      <c r="D68" s="17" t="s">
        <v>109</v>
      </c>
      <c r="E68" s="17" t="s">
        <v>100</v>
      </c>
      <c r="F68" s="26">
        <v>0.4</v>
      </c>
      <c r="G68" t="s">
        <v>138</v>
      </c>
    </row>
    <row r="69" spans="3:7" x14ac:dyDescent="0.2">
      <c r="C69" s="20">
        <v>44693</v>
      </c>
      <c r="D69" s="17" t="s">
        <v>113</v>
      </c>
      <c r="E69" s="17" t="s">
        <v>99</v>
      </c>
      <c r="F69" s="26">
        <v>0.4</v>
      </c>
      <c r="G69" t="s">
        <v>137</v>
      </c>
    </row>
    <row r="70" spans="3:7" x14ac:dyDescent="0.2">
      <c r="C70" s="20">
        <v>44693</v>
      </c>
      <c r="D70" s="17" t="s">
        <v>111</v>
      </c>
      <c r="E70" s="17" t="s">
        <v>99</v>
      </c>
      <c r="F70" s="26">
        <v>0.4</v>
      </c>
      <c r="G70" t="s">
        <v>137</v>
      </c>
    </row>
    <row r="71" spans="3:7" x14ac:dyDescent="0.2">
      <c r="C71" s="20">
        <v>44693</v>
      </c>
      <c r="D71" s="17" t="s">
        <v>110</v>
      </c>
      <c r="E71" s="17" t="s">
        <v>99</v>
      </c>
      <c r="F71" s="26">
        <v>0.2</v>
      </c>
      <c r="G71" t="s">
        <v>137</v>
      </c>
    </row>
    <row r="72" spans="3:7" x14ac:dyDescent="0.2">
      <c r="C72" s="20">
        <v>44694</v>
      </c>
      <c r="D72" s="17" t="s">
        <v>109</v>
      </c>
      <c r="E72" s="17" t="s">
        <v>97</v>
      </c>
      <c r="F72" s="26">
        <v>0.4</v>
      </c>
      <c r="G72" t="s">
        <v>139</v>
      </c>
    </row>
    <row r="73" spans="3:7" x14ac:dyDescent="0.2">
      <c r="C73" s="20">
        <v>44694</v>
      </c>
      <c r="D73" s="17" t="s">
        <v>110</v>
      </c>
      <c r="E73" s="17" t="s">
        <v>97</v>
      </c>
      <c r="F73" s="26">
        <v>0.4</v>
      </c>
      <c r="G73" t="s">
        <v>139</v>
      </c>
    </row>
    <row r="74" spans="3:7" x14ac:dyDescent="0.2">
      <c r="C74" s="20">
        <v>44694</v>
      </c>
      <c r="D74" s="17" t="s">
        <v>111</v>
      </c>
      <c r="E74" s="17" t="s">
        <v>97</v>
      </c>
      <c r="F74" s="26">
        <v>0.2</v>
      </c>
      <c r="G74" t="s">
        <v>139</v>
      </c>
    </row>
    <row r="75" spans="3:7" x14ac:dyDescent="0.2">
      <c r="C75" s="20">
        <v>44694</v>
      </c>
      <c r="D75" s="17" t="s">
        <v>109</v>
      </c>
      <c r="E75" s="17" t="s">
        <v>32</v>
      </c>
      <c r="F75" s="26">
        <v>0.1</v>
      </c>
      <c r="G75" t="s">
        <v>122</v>
      </c>
    </row>
    <row r="76" spans="3:7" x14ac:dyDescent="0.2">
      <c r="C76" s="20">
        <v>44693</v>
      </c>
      <c r="D76" s="17" t="s">
        <v>109</v>
      </c>
      <c r="E76" s="17" t="s">
        <v>96</v>
      </c>
      <c r="F76" s="26">
        <v>0.4</v>
      </c>
      <c r="G76" t="s">
        <v>140</v>
      </c>
    </row>
    <row r="77" spans="3:7" x14ac:dyDescent="0.2">
      <c r="C77" s="20">
        <v>44695</v>
      </c>
      <c r="D77" s="17" t="s">
        <v>109</v>
      </c>
      <c r="E77" s="17" t="s">
        <v>77</v>
      </c>
      <c r="F77" s="26">
        <v>0.1</v>
      </c>
      <c r="G77" s="29" t="s">
        <v>118</v>
      </c>
    </row>
    <row r="78" spans="3:7" x14ac:dyDescent="0.2">
      <c r="C78" s="20">
        <v>44695</v>
      </c>
      <c r="D78" s="17" t="s">
        <v>110</v>
      </c>
      <c r="E78" s="17" t="s">
        <v>77</v>
      </c>
      <c r="F78" s="26">
        <v>0.1</v>
      </c>
      <c r="G78" s="29" t="s">
        <v>118</v>
      </c>
    </row>
    <row r="79" spans="3:7" x14ac:dyDescent="0.2">
      <c r="C79" s="20">
        <v>44695</v>
      </c>
      <c r="D79" s="17" t="s">
        <v>111</v>
      </c>
      <c r="E79" s="17" t="s">
        <v>77</v>
      </c>
      <c r="F79" s="26">
        <v>0.1</v>
      </c>
      <c r="G79" s="29" t="s">
        <v>118</v>
      </c>
    </row>
    <row r="80" spans="3:7" x14ac:dyDescent="0.2">
      <c r="C80" s="20">
        <v>44695</v>
      </c>
      <c r="D80" s="17" t="s">
        <v>112</v>
      </c>
      <c r="E80" s="17" t="s">
        <v>77</v>
      </c>
      <c r="F80" s="26">
        <v>0.1</v>
      </c>
      <c r="G80" s="29" t="s">
        <v>118</v>
      </c>
    </row>
    <row r="81" spans="3:7" x14ac:dyDescent="0.2">
      <c r="C81" s="20">
        <v>44695</v>
      </c>
      <c r="D81" s="17" t="s">
        <v>113</v>
      </c>
      <c r="E81" s="17" t="s">
        <v>77</v>
      </c>
      <c r="F81" s="26">
        <v>0.1</v>
      </c>
      <c r="G81" s="29" t="s">
        <v>118</v>
      </c>
    </row>
    <row r="82" spans="3:7" x14ac:dyDescent="0.2">
      <c r="C82" s="20">
        <v>44696</v>
      </c>
      <c r="D82" s="17" t="s">
        <v>109</v>
      </c>
      <c r="E82" s="17" t="s">
        <v>96</v>
      </c>
      <c r="F82" s="26">
        <v>0.3</v>
      </c>
      <c r="G82" s="29" t="s">
        <v>137</v>
      </c>
    </row>
    <row r="83" spans="3:7" x14ac:dyDescent="0.2">
      <c r="C83" s="20">
        <v>44696</v>
      </c>
      <c r="D83" s="17" t="s">
        <v>110</v>
      </c>
      <c r="E83" s="17" t="s">
        <v>98</v>
      </c>
      <c r="F83" s="26">
        <v>0.3</v>
      </c>
      <c r="G83" s="29" t="s">
        <v>137</v>
      </c>
    </row>
    <row r="84" spans="3:7" x14ac:dyDescent="0.2">
      <c r="C84" s="20">
        <v>44696</v>
      </c>
      <c r="D84" s="17" t="s">
        <v>111</v>
      </c>
      <c r="E84" s="17" t="s">
        <v>97</v>
      </c>
      <c r="F84" s="26">
        <v>0.3</v>
      </c>
      <c r="G84" s="29" t="s">
        <v>137</v>
      </c>
    </row>
    <row r="85" spans="3:7" x14ac:dyDescent="0.2">
      <c r="C85" s="20">
        <v>44696</v>
      </c>
      <c r="D85" s="17" t="s">
        <v>112</v>
      </c>
      <c r="E85" s="17" t="s">
        <v>100</v>
      </c>
      <c r="F85" s="26">
        <v>0.3</v>
      </c>
      <c r="G85" s="29" t="s">
        <v>137</v>
      </c>
    </row>
    <row r="86" spans="3:7" x14ac:dyDescent="0.2">
      <c r="C86" s="20">
        <v>44696</v>
      </c>
      <c r="D86" s="17" t="s">
        <v>113</v>
      </c>
      <c r="E86" s="17" t="s">
        <v>99</v>
      </c>
      <c r="F86" s="26">
        <v>0.3</v>
      </c>
      <c r="G86" s="29" t="s">
        <v>137</v>
      </c>
    </row>
    <row r="87" spans="3:7" x14ac:dyDescent="0.2">
      <c r="C87" s="20">
        <v>44697</v>
      </c>
      <c r="D87" s="17" t="s">
        <v>113</v>
      </c>
      <c r="E87" s="17" t="s">
        <v>32</v>
      </c>
      <c r="F87" s="26">
        <v>0.2</v>
      </c>
      <c r="G87" t="s">
        <v>122</v>
      </c>
    </row>
    <row r="88" spans="3:7" x14ac:dyDescent="0.2">
      <c r="C88" s="20">
        <v>44697</v>
      </c>
      <c r="D88" s="17" t="s">
        <v>109</v>
      </c>
      <c r="E88" s="19" t="s">
        <v>20</v>
      </c>
      <c r="F88" s="25">
        <v>0.2</v>
      </c>
      <c r="G88" t="s">
        <v>117</v>
      </c>
    </row>
    <row r="89" spans="3:7" x14ac:dyDescent="0.2">
      <c r="C89" s="20">
        <v>44697</v>
      </c>
      <c r="D89" s="17" t="s">
        <v>110</v>
      </c>
      <c r="E89" s="19" t="s">
        <v>20</v>
      </c>
      <c r="F89" s="25">
        <v>0.2</v>
      </c>
      <c r="G89" t="s">
        <v>117</v>
      </c>
    </row>
    <row r="90" spans="3:7" x14ac:dyDescent="0.2">
      <c r="C90" s="20">
        <v>44697</v>
      </c>
      <c r="D90" s="17" t="s">
        <v>111</v>
      </c>
      <c r="E90" s="19" t="s">
        <v>20</v>
      </c>
      <c r="F90" s="25">
        <v>0.2</v>
      </c>
      <c r="G90" t="s">
        <v>117</v>
      </c>
    </row>
    <row r="91" spans="3:7" x14ac:dyDescent="0.2">
      <c r="C91" s="20">
        <v>44697</v>
      </c>
      <c r="D91" s="17" t="s">
        <v>112</v>
      </c>
      <c r="E91" s="19" t="s">
        <v>20</v>
      </c>
      <c r="F91" s="25">
        <v>0.2</v>
      </c>
      <c r="G91" t="s">
        <v>117</v>
      </c>
    </row>
    <row r="92" spans="3:7" x14ac:dyDescent="0.2">
      <c r="C92" s="20">
        <v>44697</v>
      </c>
      <c r="D92" s="17" t="s">
        <v>113</v>
      </c>
      <c r="E92" s="19" t="s">
        <v>20</v>
      </c>
      <c r="F92" s="25">
        <v>0.2</v>
      </c>
      <c r="G92" t="s">
        <v>117</v>
      </c>
    </row>
    <row r="93" spans="3:7" x14ac:dyDescent="0.2">
      <c r="C93" s="20">
        <v>44698</v>
      </c>
      <c r="D93" s="17" t="s">
        <v>109</v>
      </c>
      <c r="E93" s="19" t="s">
        <v>22</v>
      </c>
      <c r="F93" s="25">
        <v>0.2</v>
      </c>
      <c r="G93" t="s">
        <v>123</v>
      </c>
    </row>
    <row r="94" spans="3:7" x14ac:dyDescent="0.2">
      <c r="C94" s="20">
        <v>44698</v>
      </c>
      <c r="D94" s="17" t="s">
        <v>110</v>
      </c>
      <c r="E94" s="19" t="s">
        <v>22</v>
      </c>
      <c r="F94" s="25">
        <v>0.2</v>
      </c>
      <c r="G94" t="s">
        <v>123</v>
      </c>
    </row>
    <row r="95" spans="3:7" x14ac:dyDescent="0.2">
      <c r="C95" s="20">
        <v>44698</v>
      </c>
      <c r="D95" s="17" t="s">
        <v>111</v>
      </c>
      <c r="E95" s="19" t="s">
        <v>22</v>
      </c>
      <c r="F95" s="25">
        <v>0.2</v>
      </c>
      <c r="G95" t="s">
        <v>123</v>
      </c>
    </row>
    <row r="96" spans="3:7" x14ac:dyDescent="0.2">
      <c r="C96" s="20">
        <v>44698</v>
      </c>
      <c r="D96" s="17" t="s">
        <v>112</v>
      </c>
      <c r="E96" s="19" t="s">
        <v>22</v>
      </c>
      <c r="F96" s="25">
        <v>0.2</v>
      </c>
      <c r="G96" t="s">
        <v>123</v>
      </c>
    </row>
    <row r="97" spans="3:7" x14ac:dyDescent="0.2">
      <c r="C97" s="20">
        <v>44698</v>
      </c>
      <c r="D97" s="17" t="s">
        <v>113</v>
      </c>
      <c r="E97" s="19" t="s">
        <v>22</v>
      </c>
      <c r="F97" s="25">
        <v>0.2</v>
      </c>
      <c r="G97" t="s">
        <v>123</v>
      </c>
    </row>
    <row r="98" spans="3:7" x14ac:dyDescent="0.2">
      <c r="C98" s="20">
        <v>44698</v>
      </c>
      <c r="D98" s="17" t="s">
        <v>109</v>
      </c>
      <c r="E98" s="17" t="s">
        <v>96</v>
      </c>
      <c r="F98" s="26">
        <v>0.4</v>
      </c>
      <c r="G98" t="s">
        <v>80</v>
      </c>
    </row>
    <row r="99" spans="3:7" x14ac:dyDescent="0.2">
      <c r="C99" s="20">
        <v>44698</v>
      </c>
      <c r="D99" s="17" t="s">
        <v>110</v>
      </c>
      <c r="E99" s="17" t="s">
        <v>97</v>
      </c>
      <c r="F99" s="26">
        <v>0.4</v>
      </c>
      <c r="G99" t="s">
        <v>80</v>
      </c>
    </row>
    <row r="100" spans="3:7" x14ac:dyDescent="0.2">
      <c r="C100" s="20">
        <v>44698</v>
      </c>
      <c r="D100" s="17" t="s">
        <v>111</v>
      </c>
      <c r="E100" s="17" t="s">
        <v>97</v>
      </c>
      <c r="F100" s="26">
        <v>0.4</v>
      </c>
      <c r="G100" t="s">
        <v>80</v>
      </c>
    </row>
    <row r="101" spans="3:7" x14ac:dyDescent="0.2">
      <c r="C101" s="20">
        <v>44698</v>
      </c>
      <c r="D101" s="17" t="s">
        <v>112</v>
      </c>
      <c r="E101" s="17" t="s">
        <v>100</v>
      </c>
      <c r="F101" s="26">
        <v>0.4</v>
      </c>
      <c r="G101" t="s">
        <v>80</v>
      </c>
    </row>
    <row r="102" spans="3:7" x14ac:dyDescent="0.2">
      <c r="C102" s="20">
        <v>44698</v>
      </c>
      <c r="D102" s="17" t="s">
        <v>113</v>
      </c>
      <c r="E102" s="17" t="s">
        <v>100</v>
      </c>
      <c r="F102" s="26">
        <v>0.4</v>
      </c>
      <c r="G102" t="s">
        <v>80</v>
      </c>
    </row>
    <row r="103" spans="3:7" x14ac:dyDescent="0.2">
      <c r="C103" s="20">
        <v>44699</v>
      </c>
      <c r="D103" s="17" t="s">
        <v>112</v>
      </c>
      <c r="E103" s="17" t="s">
        <v>106</v>
      </c>
      <c r="F103" s="26">
        <v>0.3</v>
      </c>
      <c r="G103" t="s">
        <v>85</v>
      </c>
    </row>
    <row r="104" spans="3:7" x14ac:dyDescent="0.2">
      <c r="C104" s="20">
        <v>44699</v>
      </c>
      <c r="D104" s="17" t="s">
        <v>113</v>
      </c>
      <c r="E104" s="17" t="s">
        <v>106</v>
      </c>
      <c r="F104" s="26">
        <v>0.3</v>
      </c>
      <c r="G104" t="s">
        <v>85</v>
      </c>
    </row>
    <row r="105" spans="3:7" x14ac:dyDescent="0.2">
      <c r="C105" s="20">
        <v>44701</v>
      </c>
      <c r="D105" s="17" t="s">
        <v>109</v>
      </c>
      <c r="E105" s="17" t="s">
        <v>42</v>
      </c>
      <c r="F105" s="26">
        <v>0.2</v>
      </c>
      <c r="G105" t="s">
        <v>81</v>
      </c>
    </row>
    <row r="106" spans="3:7" x14ac:dyDescent="0.2">
      <c r="C106" s="20">
        <v>44701</v>
      </c>
      <c r="D106" s="17" t="s">
        <v>109</v>
      </c>
      <c r="E106" s="17" t="s">
        <v>32</v>
      </c>
      <c r="F106" s="26">
        <v>0.2</v>
      </c>
      <c r="G106" t="s">
        <v>122</v>
      </c>
    </row>
    <row r="107" spans="3:7" x14ac:dyDescent="0.2">
      <c r="C107" s="20">
        <v>44702</v>
      </c>
      <c r="D107" s="17" t="s">
        <v>109</v>
      </c>
      <c r="E107" s="17" t="s">
        <v>38</v>
      </c>
      <c r="F107" s="26">
        <v>0.5</v>
      </c>
      <c r="G107" t="s">
        <v>141</v>
      </c>
    </row>
    <row r="108" spans="3:7" x14ac:dyDescent="0.2">
      <c r="C108" s="20">
        <v>44704</v>
      </c>
      <c r="D108" s="17" t="s">
        <v>109</v>
      </c>
      <c r="E108" s="19" t="s">
        <v>20</v>
      </c>
      <c r="F108" s="25">
        <v>0.2</v>
      </c>
      <c r="G108" t="s">
        <v>117</v>
      </c>
    </row>
    <row r="109" spans="3:7" x14ac:dyDescent="0.2">
      <c r="C109" s="20">
        <v>44704</v>
      </c>
      <c r="D109" s="17" t="s">
        <v>110</v>
      </c>
      <c r="E109" s="19" t="s">
        <v>20</v>
      </c>
      <c r="F109" s="25">
        <v>0.2</v>
      </c>
      <c r="G109" t="s">
        <v>117</v>
      </c>
    </row>
    <row r="110" spans="3:7" x14ac:dyDescent="0.2">
      <c r="C110" s="20">
        <v>44704</v>
      </c>
      <c r="D110" s="17" t="s">
        <v>111</v>
      </c>
      <c r="E110" s="19" t="s">
        <v>20</v>
      </c>
      <c r="F110" s="25">
        <v>0.2</v>
      </c>
      <c r="G110" t="s">
        <v>117</v>
      </c>
    </row>
    <row r="111" spans="3:7" x14ac:dyDescent="0.2">
      <c r="C111" s="20">
        <v>44704</v>
      </c>
      <c r="D111" s="17" t="s">
        <v>112</v>
      </c>
      <c r="E111" s="19" t="s">
        <v>20</v>
      </c>
      <c r="F111" s="25">
        <v>0.2</v>
      </c>
      <c r="G111" t="s">
        <v>117</v>
      </c>
    </row>
    <row r="112" spans="3:7" x14ac:dyDescent="0.2">
      <c r="C112" s="20">
        <v>44704</v>
      </c>
      <c r="D112" s="17" t="s">
        <v>113</v>
      </c>
      <c r="E112" s="19" t="s">
        <v>20</v>
      </c>
      <c r="F112" s="25">
        <v>0.2</v>
      </c>
      <c r="G112" t="s">
        <v>117</v>
      </c>
    </row>
    <row r="113" spans="3:7" x14ac:dyDescent="0.2">
      <c r="C113" s="20">
        <v>44704</v>
      </c>
      <c r="D113" s="17" t="s">
        <v>109</v>
      </c>
      <c r="E113" s="19" t="s">
        <v>22</v>
      </c>
      <c r="F113" s="25">
        <v>0.2</v>
      </c>
      <c r="G113" t="s">
        <v>123</v>
      </c>
    </row>
    <row r="114" spans="3:7" x14ac:dyDescent="0.2">
      <c r="C114" s="20">
        <v>44704</v>
      </c>
      <c r="D114" s="17" t="s">
        <v>110</v>
      </c>
      <c r="E114" s="19" t="s">
        <v>22</v>
      </c>
      <c r="F114" s="25">
        <v>0.2</v>
      </c>
      <c r="G114" t="s">
        <v>123</v>
      </c>
    </row>
    <row r="115" spans="3:7" x14ac:dyDescent="0.2">
      <c r="C115" s="20">
        <v>44704</v>
      </c>
      <c r="D115" s="17" t="s">
        <v>111</v>
      </c>
      <c r="E115" s="19" t="s">
        <v>22</v>
      </c>
      <c r="F115" s="25">
        <v>0.2</v>
      </c>
      <c r="G115" t="s">
        <v>123</v>
      </c>
    </row>
    <row r="116" spans="3:7" x14ac:dyDescent="0.2">
      <c r="C116" s="20">
        <v>44704</v>
      </c>
      <c r="D116" s="17" t="s">
        <v>112</v>
      </c>
      <c r="E116" s="19" t="s">
        <v>22</v>
      </c>
      <c r="F116" s="25">
        <v>0.2</v>
      </c>
      <c r="G116" t="s">
        <v>123</v>
      </c>
    </row>
    <row r="117" spans="3:7" x14ac:dyDescent="0.2">
      <c r="C117" s="20">
        <v>44704</v>
      </c>
      <c r="D117" s="17" t="s">
        <v>113</v>
      </c>
      <c r="E117" s="19" t="s">
        <v>22</v>
      </c>
      <c r="F117" s="25">
        <v>0.2</v>
      </c>
      <c r="G117" t="s">
        <v>123</v>
      </c>
    </row>
    <row r="118" spans="3:7" x14ac:dyDescent="0.2">
      <c r="C118" s="20">
        <v>44704</v>
      </c>
      <c r="D118" s="17" t="s">
        <v>109</v>
      </c>
      <c r="E118" s="17" t="s">
        <v>30</v>
      </c>
      <c r="F118" s="26">
        <v>0.2</v>
      </c>
      <c r="G118" t="s">
        <v>83</v>
      </c>
    </row>
    <row r="119" spans="3:7" x14ac:dyDescent="0.2">
      <c r="C119" s="20">
        <v>44704</v>
      </c>
      <c r="D119" s="17" t="s">
        <v>110</v>
      </c>
      <c r="E119" s="17" t="s">
        <v>30</v>
      </c>
      <c r="F119" s="26">
        <v>0.2</v>
      </c>
      <c r="G119" t="s">
        <v>83</v>
      </c>
    </row>
    <row r="120" spans="3:7" x14ac:dyDescent="0.2">
      <c r="C120" s="20">
        <v>44704</v>
      </c>
      <c r="D120" s="17" t="s">
        <v>111</v>
      </c>
      <c r="E120" s="17" t="s">
        <v>30</v>
      </c>
      <c r="F120" s="26">
        <v>0.2</v>
      </c>
      <c r="G120" t="s">
        <v>83</v>
      </c>
    </row>
    <row r="121" spans="3:7" x14ac:dyDescent="0.2">
      <c r="C121" s="20">
        <v>44704</v>
      </c>
      <c r="D121" s="17" t="s">
        <v>112</v>
      </c>
      <c r="E121" s="17" t="s">
        <v>30</v>
      </c>
      <c r="F121" s="26">
        <v>0.2</v>
      </c>
      <c r="G121" t="s">
        <v>83</v>
      </c>
    </row>
    <row r="122" spans="3:7" x14ac:dyDescent="0.2">
      <c r="C122" s="20">
        <v>44704</v>
      </c>
      <c r="D122" s="17" t="s">
        <v>113</v>
      </c>
      <c r="E122" s="17" t="s">
        <v>30</v>
      </c>
      <c r="F122" s="26">
        <v>0.2</v>
      </c>
      <c r="G122" t="s">
        <v>83</v>
      </c>
    </row>
    <row r="123" spans="3:7" x14ac:dyDescent="0.2">
      <c r="C123" s="20">
        <v>44704</v>
      </c>
      <c r="D123" s="17" t="s">
        <v>109</v>
      </c>
      <c r="E123" s="17" t="s">
        <v>96</v>
      </c>
      <c r="F123" s="26">
        <v>0.3</v>
      </c>
      <c r="G123" t="s">
        <v>91</v>
      </c>
    </row>
    <row r="124" spans="3:7" x14ac:dyDescent="0.2">
      <c r="C124" s="20">
        <v>44704</v>
      </c>
      <c r="D124" s="17" t="s">
        <v>110</v>
      </c>
      <c r="E124" s="17" t="s">
        <v>96</v>
      </c>
      <c r="F124" s="26">
        <v>0.3</v>
      </c>
      <c r="G124" t="s">
        <v>84</v>
      </c>
    </row>
    <row r="125" spans="3:7" x14ac:dyDescent="0.2">
      <c r="C125" s="20">
        <v>44704</v>
      </c>
      <c r="D125" s="17" t="s">
        <v>111</v>
      </c>
      <c r="E125" s="17" t="s">
        <v>96</v>
      </c>
      <c r="F125" s="26">
        <v>0.3</v>
      </c>
      <c r="G125" t="s">
        <v>84</v>
      </c>
    </row>
    <row r="126" spans="3:7" x14ac:dyDescent="0.2">
      <c r="C126" s="20">
        <v>44704</v>
      </c>
      <c r="D126" s="17" t="s">
        <v>112</v>
      </c>
      <c r="E126" s="17" t="s">
        <v>106</v>
      </c>
      <c r="F126" s="26">
        <v>0.3</v>
      </c>
      <c r="G126" t="s">
        <v>85</v>
      </c>
    </row>
    <row r="127" spans="3:7" x14ac:dyDescent="0.2">
      <c r="C127" s="20">
        <v>44704</v>
      </c>
      <c r="D127" s="17" t="s">
        <v>113</v>
      </c>
      <c r="E127" s="17" t="s">
        <v>106</v>
      </c>
      <c r="F127" s="26">
        <v>0.3</v>
      </c>
      <c r="G127" t="s">
        <v>85</v>
      </c>
    </row>
    <row r="128" spans="3:7" x14ac:dyDescent="0.2">
      <c r="C128" s="20">
        <v>44705</v>
      </c>
      <c r="D128" s="17" t="s">
        <v>109</v>
      </c>
      <c r="E128" s="17" t="s">
        <v>97</v>
      </c>
      <c r="F128" s="26">
        <v>0.2</v>
      </c>
      <c r="G128" t="s">
        <v>142</v>
      </c>
    </row>
    <row r="129" spans="3:7" x14ac:dyDescent="0.2">
      <c r="C129" s="20">
        <v>44707</v>
      </c>
      <c r="D129" s="17" t="s">
        <v>110</v>
      </c>
      <c r="E129" s="17" t="s">
        <v>98</v>
      </c>
      <c r="F129" s="26">
        <v>0.5</v>
      </c>
      <c r="G129" t="s">
        <v>86</v>
      </c>
    </row>
    <row r="130" spans="3:7" x14ac:dyDescent="0.2">
      <c r="C130" s="20">
        <v>44707</v>
      </c>
      <c r="D130" s="17" t="s">
        <v>111</v>
      </c>
      <c r="E130" s="17" t="s">
        <v>98</v>
      </c>
      <c r="F130" s="26">
        <v>0.5</v>
      </c>
      <c r="G130" t="s">
        <v>86</v>
      </c>
    </row>
    <row r="131" spans="3:7" x14ac:dyDescent="0.2">
      <c r="C131" s="20">
        <v>44708</v>
      </c>
      <c r="D131" s="17" t="s">
        <v>113</v>
      </c>
      <c r="E131" s="17" t="s">
        <v>32</v>
      </c>
      <c r="F131" s="26">
        <v>0.1</v>
      </c>
      <c r="G131" s="2" t="s">
        <v>92</v>
      </c>
    </row>
    <row r="132" spans="3:7" x14ac:dyDescent="0.2">
      <c r="C132" s="20">
        <v>44708</v>
      </c>
      <c r="D132" s="17" t="s">
        <v>111</v>
      </c>
      <c r="E132" s="17" t="s">
        <v>96</v>
      </c>
      <c r="F132" s="26">
        <v>0.4</v>
      </c>
      <c r="G132" s="2" t="s">
        <v>93</v>
      </c>
    </row>
    <row r="133" spans="3:7" x14ac:dyDescent="0.2">
      <c r="C133" s="20">
        <v>44708</v>
      </c>
      <c r="D133" s="17" t="s">
        <v>110</v>
      </c>
      <c r="E133" s="17" t="s">
        <v>96</v>
      </c>
      <c r="F133" s="26">
        <v>0.4</v>
      </c>
      <c r="G133" s="2" t="s">
        <v>93</v>
      </c>
    </row>
    <row r="134" spans="3:7" x14ac:dyDescent="0.2">
      <c r="C134" s="20">
        <v>44708</v>
      </c>
      <c r="D134" s="17" t="s">
        <v>109</v>
      </c>
      <c r="E134" s="17" t="s">
        <v>107</v>
      </c>
      <c r="F134" s="26">
        <v>0.4</v>
      </c>
      <c r="G134" s="2" t="s">
        <v>94</v>
      </c>
    </row>
    <row r="135" spans="3:7" x14ac:dyDescent="0.2">
      <c r="C135" s="20">
        <v>44711</v>
      </c>
      <c r="D135" s="17" t="s">
        <v>109</v>
      </c>
      <c r="E135" s="19" t="s">
        <v>26</v>
      </c>
      <c r="F135" s="26">
        <v>0.2</v>
      </c>
      <c r="G135" t="s">
        <v>27</v>
      </c>
    </row>
    <row r="136" spans="3:7" x14ac:dyDescent="0.2">
      <c r="C136" s="20">
        <v>44711</v>
      </c>
      <c r="D136" s="17" t="s">
        <v>110</v>
      </c>
      <c r="E136" s="19" t="s">
        <v>26</v>
      </c>
      <c r="F136" s="26">
        <v>0.2</v>
      </c>
      <c r="G136" t="s">
        <v>27</v>
      </c>
    </row>
    <row r="137" spans="3:7" x14ac:dyDescent="0.2">
      <c r="C137" s="20">
        <v>44711</v>
      </c>
      <c r="D137" s="17" t="s">
        <v>111</v>
      </c>
      <c r="E137" s="19" t="s">
        <v>26</v>
      </c>
      <c r="F137" s="26">
        <v>0.2</v>
      </c>
      <c r="G137" t="s">
        <v>27</v>
      </c>
    </row>
    <row r="138" spans="3:7" x14ac:dyDescent="0.2">
      <c r="C138" s="20">
        <v>44711</v>
      </c>
      <c r="D138" s="17" t="s">
        <v>112</v>
      </c>
      <c r="E138" s="19" t="s">
        <v>26</v>
      </c>
      <c r="F138" s="26">
        <v>0.2</v>
      </c>
      <c r="G138" t="s">
        <v>27</v>
      </c>
    </row>
    <row r="139" spans="3:7" x14ac:dyDescent="0.2">
      <c r="C139" s="20">
        <v>44711</v>
      </c>
      <c r="D139" s="17" t="s">
        <v>113</v>
      </c>
      <c r="E139" s="19" t="s">
        <v>26</v>
      </c>
      <c r="F139" s="26">
        <v>0.2</v>
      </c>
      <c r="G139" t="s">
        <v>27</v>
      </c>
    </row>
    <row r="140" spans="3:7" x14ac:dyDescent="0.2">
      <c r="C140" s="20">
        <v>44712</v>
      </c>
      <c r="D140" s="17" t="s">
        <v>109</v>
      </c>
      <c r="E140" s="17" t="s">
        <v>30</v>
      </c>
      <c r="F140" s="26">
        <v>0.2</v>
      </c>
      <c r="G140" t="s">
        <v>124</v>
      </c>
    </row>
    <row r="141" spans="3:7" x14ac:dyDescent="0.2">
      <c r="C141" s="20">
        <v>44712</v>
      </c>
      <c r="D141" s="17" t="s">
        <v>110</v>
      </c>
      <c r="E141" s="17" t="s">
        <v>30</v>
      </c>
      <c r="F141" s="26">
        <v>0.2</v>
      </c>
      <c r="G141" t="s">
        <v>124</v>
      </c>
    </row>
    <row r="142" spans="3:7" x14ac:dyDescent="0.2">
      <c r="C142" s="20">
        <v>44712</v>
      </c>
      <c r="D142" s="17" t="s">
        <v>111</v>
      </c>
      <c r="E142" s="17" t="s">
        <v>30</v>
      </c>
      <c r="F142" s="26">
        <v>0.2</v>
      </c>
      <c r="G142" t="s">
        <v>124</v>
      </c>
    </row>
    <row r="143" spans="3:7" x14ac:dyDescent="0.2">
      <c r="C143" s="20">
        <v>44712</v>
      </c>
      <c r="D143" s="17" t="s">
        <v>112</v>
      </c>
      <c r="E143" s="17" t="s">
        <v>30</v>
      </c>
      <c r="F143" s="26">
        <v>0.2</v>
      </c>
      <c r="G143" t="s">
        <v>124</v>
      </c>
    </row>
    <row r="144" spans="3:7" x14ac:dyDescent="0.2">
      <c r="C144" s="20">
        <v>44712</v>
      </c>
      <c r="D144" s="17" t="s">
        <v>113</v>
      </c>
      <c r="E144" s="17" t="s">
        <v>30</v>
      </c>
      <c r="F144" s="26">
        <v>0.2</v>
      </c>
      <c r="G144" t="s">
        <v>124</v>
      </c>
    </row>
    <row r="145" spans="3:7" x14ac:dyDescent="0.2">
      <c r="C145" s="20">
        <v>44712</v>
      </c>
      <c r="D145" s="17" t="s">
        <v>109</v>
      </c>
      <c r="E145" s="19" t="s">
        <v>22</v>
      </c>
      <c r="F145" s="26">
        <v>0.2</v>
      </c>
      <c r="G145" t="s">
        <v>117</v>
      </c>
    </row>
    <row r="146" spans="3:7" x14ac:dyDescent="0.2">
      <c r="C146" s="20">
        <v>44712</v>
      </c>
      <c r="D146" s="17" t="s">
        <v>110</v>
      </c>
      <c r="E146" s="19" t="s">
        <v>22</v>
      </c>
      <c r="F146" s="26">
        <v>0.2</v>
      </c>
      <c r="G146" t="s">
        <v>117</v>
      </c>
    </row>
    <row r="147" spans="3:7" x14ac:dyDescent="0.2">
      <c r="C147" s="20">
        <v>44712</v>
      </c>
      <c r="D147" s="17" t="s">
        <v>111</v>
      </c>
      <c r="E147" s="19" t="s">
        <v>22</v>
      </c>
      <c r="F147" s="26">
        <v>0.2</v>
      </c>
      <c r="G147" t="s">
        <v>117</v>
      </c>
    </row>
    <row r="148" spans="3:7" x14ac:dyDescent="0.2">
      <c r="C148" s="20">
        <v>44712</v>
      </c>
      <c r="D148" s="17" t="s">
        <v>112</v>
      </c>
      <c r="E148" s="19" t="s">
        <v>22</v>
      </c>
      <c r="F148" s="26">
        <v>0.2</v>
      </c>
      <c r="G148" t="s">
        <v>117</v>
      </c>
    </row>
    <row r="149" spans="3:7" x14ac:dyDescent="0.2">
      <c r="C149" s="20">
        <v>44712</v>
      </c>
      <c r="D149" s="17" t="s">
        <v>113</v>
      </c>
      <c r="E149" s="19" t="s">
        <v>22</v>
      </c>
      <c r="F149" s="26">
        <v>0.2</v>
      </c>
      <c r="G149" t="s">
        <v>117</v>
      </c>
    </row>
    <row r="150" spans="3:7" x14ac:dyDescent="0.2">
      <c r="C150" s="20">
        <v>44712</v>
      </c>
      <c r="D150" s="17" t="s">
        <v>109</v>
      </c>
      <c r="E150" s="17" t="s">
        <v>107</v>
      </c>
      <c r="F150" s="26">
        <v>0.5</v>
      </c>
      <c r="G150" t="s">
        <v>115</v>
      </c>
    </row>
    <row r="151" spans="3:7" x14ac:dyDescent="0.2">
      <c r="C151" s="20">
        <v>44712</v>
      </c>
      <c r="D151" s="17" t="s">
        <v>110</v>
      </c>
      <c r="E151" s="17" t="s">
        <v>98</v>
      </c>
      <c r="F151" s="26">
        <v>0.5</v>
      </c>
      <c r="G151" t="s">
        <v>115</v>
      </c>
    </row>
    <row r="152" spans="3:7" x14ac:dyDescent="0.2">
      <c r="C152" s="20">
        <v>44712</v>
      </c>
      <c r="D152" s="17" t="s">
        <v>111</v>
      </c>
      <c r="E152" s="17" t="s">
        <v>98</v>
      </c>
      <c r="F152" s="26">
        <v>0.5</v>
      </c>
      <c r="G152" t="s">
        <v>115</v>
      </c>
    </row>
    <row r="153" spans="3:7" x14ac:dyDescent="0.2">
      <c r="C153" s="20">
        <v>44712</v>
      </c>
      <c r="D153" s="17" t="s">
        <v>112</v>
      </c>
      <c r="E153" s="17" t="s">
        <v>100</v>
      </c>
      <c r="F153" s="26">
        <v>0.5</v>
      </c>
      <c r="G153" t="s">
        <v>115</v>
      </c>
    </row>
    <row r="154" spans="3:7" x14ac:dyDescent="0.2">
      <c r="C154" s="20">
        <v>44712</v>
      </c>
      <c r="D154" s="17" t="s">
        <v>113</v>
      </c>
      <c r="E154" s="17" t="s">
        <v>100</v>
      </c>
      <c r="F154" s="26">
        <v>0.5</v>
      </c>
      <c r="G154" t="s">
        <v>115</v>
      </c>
    </row>
    <row r="155" spans="3:7" x14ac:dyDescent="0.2">
      <c r="C155" s="20">
        <v>44715</v>
      </c>
      <c r="D155" s="17" t="s">
        <v>109</v>
      </c>
      <c r="E155" s="17" t="s">
        <v>30</v>
      </c>
      <c r="F155" s="26">
        <v>0.2</v>
      </c>
      <c r="G155" t="s">
        <v>124</v>
      </c>
    </row>
    <row r="156" spans="3:7" x14ac:dyDescent="0.2">
      <c r="C156" s="20">
        <v>44715</v>
      </c>
      <c r="D156" s="17" t="s">
        <v>110</v>
      </c>
      <c r="E156" s="17" t="s">
        <v>30</v>
      </c>
      <c r="F156" s="26">
        <v>0.2</v>
      </c>
      <c r="G156" t="s">
        <v>124</v>
      </c>
    </row>
    <row r="157" spans="3:7" x14ac:dyDescent="0.2">
      <c r="C157" s="20">
        <v>44715</v>
      </c>
      <c r="D157" s="17" t="s">
        <v>111</v>
      </c>
      <c r="E157" s="17" t="s">
        <v>30</v>
      </c>
      <c r="F157" s="26">
        <v>0.2</v>
      </c>
      <c r="G157" t="s">
        <v>124</v>
      </c>
    </row>
    <row r="158" spans="3:7" x14ac:dyDescent="0.2">
      <c r="C158" s="20">
        <v>44715</v>
      </c>
      <c r="D158" s="17" t="s">
        <v>112</v>
      </c>
      <c r="E158" s="17" t="s">
        <v>30</v>
      </c>
      <c r="F158" s="26">
        <v>0.2</v>
      </c>
      <c r="G158" t="s">
        <v>124</v>
      </c>
    </row>
    <row r="159" spans="3:7" x14ac:dyDescent="0.2">
      <c r="C159" s="20">
        <v>44715</v>
      </c>
      <c r="D159" s="17" t="s">
        <v>113</v>
      </c>
      <c r="E159" s="17" t="s">
        <v>30</v>
      </c>
      <c r="F159" s="26">
        <v>0.2</v>
      </c>
      <c r="G159" t="s">
        <v>124</v>
      </c>
    </row>
    <row r="160" spans="3:7" x14ac:dyDescent="0.2">
      <c r="C160" s="20">
        <v>44716</v>
      </c>
      <c r="D160" s="17" t="s">
        <v>109</v>
      </c>
      <c r="E160" s="17" t="s">
        <v>32</v>
      </c>
      <c r="F160" s="26">
        <v>0.1</v>
      </c>
      <c r="G160" t="s">
        <v>114</v>
      </c>
    </row>
    <row r="161" spans="3:7" x14ac:dyDescent="0.2">
      <c r="C161" s="20">
        <v>44716</v>
      </c>
      <c r="D161" s="17" t="s">
        <v>109</v>
      </c>
      <c r="E161" s="17" t="s">
        <v>96</v>
      </c>
      <c r="F161" s="26">
        <v>0.3</v>
      </c>
      <c r="G161" s="2" t="s">
        <v>125</v>
      </c>
    </row>
    <row r="162" spans="3:7" x14ac:dyDescent="0.2">
      <c r="C162" s="20">
        <v>44716</v>
      </c>
      <c r="D162" s="17" t="s">
        <v>113</v>
      </c>
      <c r="E162" s="17" t="s">
        <v>32</v>
      </c>
      <c r="F162" s="26">
        <v>0.1</v>
      </c>
      <c r="G162" t="s">
        <v>116</v>
      </c>
    </row>
    <row r="163" spans="3:7" x14ac:dyDescent="0.2">
      <c r="C163" s="20">
        <v>44716</v>
      </c>
      <c r="D163" s="17" t="s">
        <v>112</v>
      </c>
      <c r="E163" s="17" t="s">
        <v>100</v>
      </c>
      <c r="F163" s="26">
        <v>0.3</v>
      </c>
      <c r="G163" t="s">
        <v>121</v>
      </c>
    </row>
    <row r="164" spans="3:7" x14ac:dyDescent="0.2">
      <c r="C164" s="20">
        <v>44717</v>
      </c>
      <c r="D164" s="17" t="s">
        <v>109</v>
      </c>
      <c r="E164" s="17" t="s">
        <v>36</v>
      </c>
      <c r="F164" s="26">
        <v>0.4</v>
      </c>
      <c r="G164" t="s">
        <v>144</v>
      </c>
    </row>
    <row r="165" spans="3:7" x14ac:dyDescent="0.2">
      <c r="C165" s="20">
        <v>44718</v>
      </c>
      <c r="D165" s="17" t="s">
        <v>109</v>
      </c>
      <c r="E165" s="17" t="s">
        <v>30</v>
      </c>
      <c r="F165" s="26">
        <v>0.1</v>
      </c>
      <c r="G165" t="s">
        <v>120</v>
      </c>
    </row>
    <row r="166" spans="3:7" x14ac:dyDescent="0.2">
      <c r="C166" s="20">
        <v>44718</v>
      </c>
      <c r="D166" s="17" t="s">
        <v>112</v>
      </c>
      <c r="E166" s="17" t="s">
        <v>30</v>
      </c>
      <c r="F166" s="26">
        <v>0.1</v>
      </c>
      <c r="G166" t="s">
        <v>120</v>
      </c>
    </row>
    <row r="167" spans="3:7" x14ac:dyDescent="0.2">
      <c r="C167" s="20">
        <v>44719</v>
      </c>
      <c r="D167" s="17" t="s">
        <v>109</v>
      </c>
      <c r="E167" s="19" t="s">
        <v>22</v>
      </c>
      <c r="F167" s="26">
        <v>0.2</v>
      </c>
      <c r="G167" t="s">
        <v>117</v>
      </c>
    </row>
    <row r="168" spans="3:7" x14ac:dyDescent="0.2">
      <c r="C168" s="20">
        <v>44719</v>
      </c>
      <c r="D168" s="17" t="s">
        <v>110</v>
      </c>
      <c r="E168" s="19" t="s">
        <v>22</v>
      </c>
      <c r="F168" s="26">
        <v>0.2</v>
      </c>
      <c r="G168" t="s">
        <v>117</v>
      </c>
    </row>
    <row r="169" spans="3:7" x14ac:dyDescent="0.2">
      <c r="C169" s="20">
        <v>44719</v>
      </c>
      <c r="D169" s="17" t="s">
        <v>111</v>
      </c>
      <c r="E169" s="19" t="s">
        <v>22</v>
      </c>
      <c r="F169" s="26">
        <v>0.2</v>
      </c>
      <c r="G169" t="s">
        <v>117</v>
      </c>
    </row>
    <row r="170" spans="3:7" x14ac:dyDescent="0.2">
      <c r="C170" s="20">
        <v>44719</v>
      </c>
      <c r="D170" s="17" t="s">
        <v>112</v>
      </c>
      <c r="E170" s="19" t="s">
        <v>22</v>
      </c>
      <c r="F170" s="26">
        <v>0.2</v>
      </c>
      <c r="G170" t="s">
        <v>117</v>
      </c>
    </row>
    <row r="171" spans="3:7" x14ac:dyDescent="0.2">
      <c r="C171" s="20">
        <v>44719</v>
      </c>
      <c r="D171" s="17" t="s">
        <v>113</v>
      </c>
      <c r="E171" s="19" t="s">
        <v>22</v>
      </c>
      <c r="F171" s="26">
        <v>0.2</v>
      </c>
      <c r="G171" t="s">
        <v>117</v>
      </c>
    </row>
    <row r="172" spans="3:7" x14ac:dyDescent="0.2">
      <c r="C172" s="20">
        <v>44719</v>
      </c>
      <c r="D172" s="17" t="s">
        <v>109</v>
      </c>
      <c r="E172" s="19" t="s">
        <v>26</v>
      </c>
      <c r="F172" s="26">
        <v>0.2</v>
      </c>
      <c r="G172" t="s">
        <v>27</v>
      </c>
    </row>
    <row r="173" spans="3:7" x14ac:dyDescent="0.2">
      <c r="C173" s="20">
        <v>44719</v>
      </c>
      <c r="D173" s="17" t="s">
        <v>110</v>
      </c>
      <c r="E173" s="19" t="s">
        <v>26</v>
      </c>
      <c r="F173" s="26">
        <v>0.2</v>
      </c>
      <c r="G173" t="s">
        <v>27</v>
      </c>
    </row>
    <row r="174" spans="3:7" x14ac:dyDescent="0.2">
      <c r="C174" s="20">
        <v>44719</v>
      </c>
      <c r="D174" s="17" t="s">
        <v>111</v>
      </c>
      <c r="E174" s="19" t="s">
        <v>26</v>
      </c>
      <c r="F174" s="26">
        <v>0.2</v>
      </c>
      <c r="G174" t="s">
        <v>27</v>
      </c>
    </row>
    <row r="175" spans="3:7" x14ac:dyDescent="0.2">
      <c r="C175" s="20">
        <v>44719</v>
      </c>
      <c r="D175" s="17" t="s">
        <v>112</v>
      </c>
      <c r="E175" s="19" t="s">
        <v>26</v>
      </c>
      <c r="F175" s="26">
        <v>0.2</v>
      </c>
      <c r="G175" t="s">
        <v>27</v>
      </c>
    </row>
    <row r="176" spans="3:7" x14ac:dyDescent="0.2">
      <c r="C176" s="20">
        <v>44719</v>
      </c>
      <c r="D176" s="17" t="s">
        <v>113</v>
      </c>
      <c r="E176" s="19" t="s">
        <v>26</v>
      </c>
      <c r="F176" s="26">
        <v>0.2</v>
      </c>
      <c r="G176" t="s">
        <v>27</v>
      </c>
    </row>
    <row r="177" spans="3:7" x14ac:dyDescent="0.2">
      <c r="C177" s="20">
        <v>44719</v>
      </c>
      <c r="D177" s="17" t="s">
        <v>109</v>
      </c>
      <c r="E177" s="17" t="s">
        <v>30</v>
      </c>
      <c r="F177" s="26">
        <v>0.2</v>
      </c>
      <c r="G177" t="s">
        <v>124</v>
      </c>
    </row>
    <row r="178" spans="3:7" x14ac:dyDescent="0.2">
      <c r="C178" s="20">
        <v>44719</v>
      </c>
      <c r="D178" s="17" t="s">
        <v>110</v>
      </c>
      <c r="E178" s="17" t="s">
        <v>30</v>
      </c>
      <c r="F178" s="26">
        <v>0.2</v>
      </c>
      <c r="G178" t="s">
        <v>124</v>
      </c>
    </row>
    <row r="179" spans="3:7" x14ac:dyDescent="0.2">
      <c r="C179" s="20">
        <v>44719</v>
      </c>
      <c r="D179" s="17" t="s">
        <v>111</v>
      </c>
      <c r="E179" s="17" t="s">
        <v>30</v>
      </c>
      <c r="F179" s="26">
        <v>0.2</v>
      </c>
      <c r="G179" t="s">
        <v>124</v>
      </c>
    </row>
    <row r="180" spans="3:7" x14ac:dyDescent="0.2">
      <c r="C180" s="20">
        <v>44719</v>
      </c>
      <c r="D180" s="17" t="s">
        <v>112</v>
      </c>
      <c r="E180" s="17" t="s">
        <v>30</v>
      </c>
      <c r="F180" s="26">
        <v>0.2</v>
      </c>
      <c r="G180" t="s">
        <v>124</v>
      </c>
    </row>
    <row r="181" spans="3:7" x14ac:dyDescent="0.2">
      <c r="C181" s="20">
        <v>44719</v>
      </c>
      <c r="D181" s="17" t="s">
        <v>113</v>
      </c>
      <c r="E181" s="17" t="s">
        <v>30</v>
      </c>
      <c r="F181" s="26">
        <v>0.2</v>
      </c>
      <c r="G181" t="s">
        <v>124</v>
      </c>
    </row>
    <row r="182" spans="3:7" x14ac:dyDescent="0.2">
      <c r="C182" s="20">
        <v>44719</v>
      </c>
      <c r="D182" s="17" t="s">
        <v>109</v>
      </c>
      <c r="E182" s="17" t="s">
        <v>107</v>
      </c>
      <c r="F182" s="26">
        <v>0.3</v>
      </c>
      <c r="G182" t="s">
        <v>126</v>
      </c>
    </row>
    <row r="183" spans="3:7" x14ac:dyDescent="0.2">
      <c r="C183" s="20">
        <v>44719</v>
      </c>
      <c r="D183" s="17" t="s">
        <v>110</v>
      </c>
      <c r="E183" s="17" t="s">
        <v>98</v>
      </c>
      <c r="F183" s="26">
        <v>0.4</v>
      </c>
      <c r="G183" t="s">
        <v>127</v>
      </c>
    </row>
    <row r="184" spans="3:7" x14ac:dyDescent="0.2">
      <c r="C184" s="20">
        <v>44719</v>
      </c>
      <c r="D184" s="17" t="s">
        <v>111</v>
      </c>
      <c r="E184" s="17" t="s">
        <v>98</v>
      </c>
      <c r="F184" s="26">
        <v>0.4</v>
      </c>
      <c r="G184" t="s">
        <v>127</v>
      </c>
    </row>
    <row r="185" spans="3:7" x14ac:dyDescent="0.2">
      <c r="C185" s="20">
        <v>44719</v>
      </c>
      <c r="D185" s="17" t="s">
        <v>112</v>
      </c>
      <c r="E185" s="17" t="s">
        <v>97</v>
      </c>
      <c r="F185" s="26">
        <v>0.3</v>
      </c>
      <c r="G185" t="s">
        <v>128</v>
      </c>
    </row>
    <row r="186" spans="3:7" x14ac:dyDescent="0.2">
      <c r="C186" s="20">
        <v>44719</v>
      </c>
      <c r="D186" s="17" t="s">
        <v>113</v>
      </c>
      <c r="E186" s="17" t="s">
        <v>97</v>
      </c>
      <c r="F186" s="26">
        <v>0.3</v>
      </c>
      <c r="G186" t="s">
        <v>128</v>
      </c>
    </row>
    <row r="187" spans="3:7" x14ac:dyDescent="0.2">
      <c r="C187" s="20">
        <v>44719</v>
      </c>
      <c r="D187" s="17" t="s">
        <v>109</v>
      </c>
      <c r="E187" s="17" t="s">
        <v>32</v>
      </c>
      <c r="F187" s="26">
        <v>0.15</v>
      </c>
      <c r="G187" t="s">
        <v>143</v>
      </c>
    </row>
    <row r="188" spans="3:7" x14ac:dyDescent="0.2">
      <c r="C188" s="20">
        <v>44719</v>
      </c>
      <c r="D188" s="17" t="s">
        <v>110</v>
      </c>
      <c r="E188" s="17" t="s">
        <v>32</v>
      </c>
      <c r="F188" s="26">
        <v>0.15</v>
      </c>
      <c r="G188" t="s">
        <v>143</v>
      </c>
    </row>
    <row r="189" spans="3:7" x14ac:dyDescent="0.2">
      <c r="C189" s="20">
        <v>44719</v>
      </c>
      <c r="D189" s="17" t="s">
        <v>111</v>
      </c>
      <c r="E189" s="17" t="s">
        <v>32</v>
      </c>
      <c r="F189" s="26">
        <v>0.15</v>
      </c>
      <c r="G189" t="s">
        <v>143</v>
      </c>
    </row>
    <row r="190" spans="3:7" x14ac:dyDescent="0.2">
      <c r="C190" s="20">
        <v>44719</v>
      </c>
      <c r="D190" s="17" t="s">
        <v>112</v>
      </c>
      <c r="E190" s="17" t="s">
        <v>32</v>
      </c>
      <c r="F190" s="26">
        <v>0.15</v>
      </c>
      <c r="G190" t="s">
        <v>143</v>
      </c>
    </row>
    <row r="191" spans="3:7" x14ac:dyDescent="0.2">
      <c r="C191" s="20">
        <v>44721</v>
      </c>
      <c r="D191" s="17" t="s">
        <v>112</v>
      </c>
      <c r="E191" s="17" t="s">
        <v>97</v>
      </c>
      <c r="F191" s="26">
        <v>0.15</v>
      </c>
      <c r="G191" t="s">
        <v>128</v>
      </c>
    </row>
    <row r="192" spans="3:7" x14ac:dyDescent="0.2">
      <c r="C192" s="20">
        <v>44721</v>
      </c>
      <c r="D192" s="17" t="s">
        <v>113</v>
      </c>
      <c r="E192" s="17" t="s">
        <v>97</v>
      </c>
      <c r="F192" s="26">
        <v>0.15</v>
      </c>
      <c r="G192" t="s">
        <v>128</v>
      </c>
    </row>
    <row r="193" spans="3:7" x14ac:dyDescent="0.2">
      <c r="C193" s="20">
        <v>44721</v>
      </c>
      <c r="D193" s="17" t="s">
        <v>109</v>
      </c>
      <c r="E193" s="17" t="s">
        <v>98</v>
      </c>
      <c r="F193" s="26">
        <v>0.15</v>
      </c>
      <c r="G193" t="s">
        <v>147</v>
      </c>
    </row>
    <row r="194" spans="3:7" x14ac:dyDescent="0.2">
      <c r="C194" s="20">
        <v>44721</v>
      </c>
      <c r="D194" s="17" t="s">
        <v>110</v>
      </c>
      <c r="E194" s="17" t="s">
        <v>98</v>
      </c>
      <c r="F194" s="26">
        <v>0.15</v>
      </c>
      <c r="G194" t="s">
        <v>147</v>
      </c>
    </row>
    <row r="195" spans="3:7" x14ac:dyDescent="0.2">
      <c r="C195" s="20">
        <v>44721</v>
      </c>
      <c r="D195" s="17" t="s">
        <v>111</v>
      </c>
      <c r="E195" s="17" t="s">
        <v>98</v>
      </c>
      <c r="F195" s="26">
        <v>0.15</v>
      </c>
      <c r="G195" t="s">
        <v>147</v>
      </c>
    </row>
    <row r="196" spans="3:7" x14ac:dyDescent="0.2">
      <c r="C196" s="20">
        <v>44722</v>
      </c>
      <c r="D196" s="17" t="s">
        <v>109</v>
      </c>
      <c r="E196" s="17" t="s">
        <v>30</v>
      </c>
      <c r="F196" s="26">
        <v>0.2</v>
      </c>
      <c r="G196" t="s">
        <v>124</v>
      </c>
    </row>
    <row r="197" spans="3:7" x14ac:dyDescent="0.2">
      <c r="C197" s="20">
        <v>44722</v>
      </c>
      <c r="D197" s="17" t="s">
        <v>110</v>
      </c>
      <c r="E197" s="17" t="s">
        <v>30</v>
      </c>
      <c r="F197" s="26">
        <v>0.2</v>
      </c>
      <c r="G197" t="s">
        <v>124</v>
      </c>
    </row>
    <row r="198" spans="3:7" x14ac:dyDescent="0.2">
      <c r="C198" s="20">
        <v>44722</v>
      </c>
      <c r="D198" s="17" t="s">
        <v>111</v>
      </c>
      <c r="E198" s="17" t="s">
        <v>30</v>
      </c>
      <c r="F198" s="26">
        <v>0.2</v>
      </c>
      <c r="G198" t="s">
        <v>124</v>
      </c>
    </row>
    <row r="199" spans="3:7" x14ac:dyDescent="0.2">
      <c r="C199" s="20">
        <v>44722</v>
      </c>
      <c r="D199" s="17" t="s">
        <v>112</v>
      </c>
      <c r="E199" s="17" t="s">
        <v>30</v>
      </c>
      <c r="F199" s="26">
        <v>0.2</v>
      </c>
      <c r="G199" t="s">
        <v>124</v>
      </c>
    </row>
    <row r="200" spans="3:7" x14ac:dyDescent="0.2">
      <c r="C200" s="20">
        <v>44722</v>
      </c>
      <c r="D200" s="17" t="s">
        <v>113</v>
      </c>
      <c r="E200" s="17" t="s">
        <v>30</v>
      </c>
      <c r="F200" s="26">
        <v>0.2</v>
      </c>
      <c r="G200" t="s">
        <v>124</v>
      </c>
    </row>
    <row r="201" spans="3:7" x14ac:dyDescent="0.2">
      <c r="C201" s="20">
        <v>44723</v>
      </c>
      <c r="D201" s="17" t="s">
        <v>113</v>
      </c>
      <c r="E201" s="17" t="s">
        <v>99</v>
      </c>
      <c r="F201" s="26">
        <v>0.15</v>
      </c>
      <c r="G201" t="s">
        <v>148</v>
      </c>
    </row>
    <row r="202" spans="3:7" x14ac:dyDescent="0.2">
      <c r="C202" s="20">
        <v>44723</v>
      </c>
      <c r="D202" s="17" t="s">
        <v>111</v>
      </c>
      <c r="E202" s="17" t="s">
        <v>99</v>
      </c>
      <c r="F202" s="26">
        <v>0.15</v>
      </c>
      <c r="G202" t="s">
        <v>148</v>
      </c>
    </row>
    <row r="203" spans="3:7" x14ac:dyDescent="0.2">
      <c r="C203" s="20">
        <v>44723</v>
      </c>
      <c r="D203" s="17" t="s">
        <v>110</v>
      </c>
      <c r="E203" s="17" t="s">
        <v>99</v>
      </c>
      <c r="F203" s="26">
        <v>0.15</v>
      </c>
      <c r="G203" t="s">
        <v>148</v>
      </c>
    </row>
    <row r="204" spans="3:7" x14ac:dyDescent="0.2">
      <c r="C204" s="20">
        <v>44725</v>
      </c>
      <c r="D204" s="17" t="s">
        <v>109</v>
      </c>
      <c r="E204" s="19" t="s">
        <v>26</v>
      </c>
      <c r="F204" s="26">
        <v>0.2</v>
      </c>
      <c r="G204" t="s">
        <v>27</v>
      </c>
    </row>
    <row r="205" spans="3:7" x14ac:dyDescent="0.2">
      <c r="C205" s="20">
        <v>44725</v>
      </c>
      <c r="D205" s="17" t="s">
        <v>110</v>
      </c>
      <c r="E205" s="19" t="s">
        <v>26</v>
      </c>
      <c r="F205" s="26">
        <v>0.2</v>
      </c>
      <c r="G205" t="s">
        <v>27</v>
      </c>
    </row>
    <row r="206" spans="3:7" x14ac:dyDescent="0.2">
      <c r="C206" s="20">
        <v>44725</v>
      </c>
      <c r="D206" s="17" t="s">
        <v>111</v>
      </c>
      <c r="E206" s="19" t="s">
        <v>26</v>
      </c>
      <c r="F206" s="26">
        <v>0.2</v>
      </c>
      <c r="G206" t="s">
        <v>27</v>
      </c>
    </row>
    <row r="207" spans="3:7" x14ac:dyDescent="0.2">
      <c r="C207" s="20">
        <v>44725</v>
      </c>
      <c r="D207" s="17" t="s">
        <v>112</v>
      </c>
      <c r="E207" s="19" t="s">
        <v>26</v>
      </c>
      <c r="F207" s="26">
        <v>0.2</v>
      </c>
      <c r="G207" t="s">
        <v>27</v>
      </c>
    </row>
    <row r="208" spans="3:7" x14ac:dyDescent="0.2">
      <c r="C208" s="20">
        <v>44725</v>
      </c>
      <c r="D208" s="17" t="s">
        <v>113</v>
      </c>
      <c r="E208" s="19" t="s">
        <v>26</v>
      </c>
      <c r="F208" s="26">
        <v>0.2</v>
      </c>
      <c r="G208" t="s">
        <v>27</v>
      </c>
    </row>
    <row r="209" spans="3:7" x14ac:dyDescent="0.2">
      <c r="C209" s="20">
        <v>44726</v>
      </c>
      <c r="D209" s="17" t="s">
        <v>109</v>
      </c>
      <c r="E209" s="19" t="s">
        <v>22</v>
      </c>
      <c r="F209" s="25">
        <v>0.2</v>
      </c>
      <c r="G209" t="s">
        <v>123</v>
      </c>
    </row>
    <row r="210" spans="3:7" x14ac:dyDescent="0.2">
      <c r="C210" s="20">
        <v>44726</v>
      </c>
      <c r="D210" s="17" t="s">
        <v>110</v>
      </c>
      <c r="E210" s="19" t="s">
        <v>22</v>
      </c>
      <c r="F210" s="25">
        <v>0.2</v>
      </c>
      <c r="G210" t="s">
        <v>123</v>
      </c>
    </row>
    <row r="211" spans="3:7" x14ac:dyDescent="0.2">
      <c r="C211" s="20">
        <v>44726</v>
      </c>
      <c r="D211" s="17" t="s">
        <v>111</v>
      </c>
      <c r="E211" s="19" t="s">
        <v>22</v>
      </c>
      <c r="F211" s="25">
        <v>0.2</v>
      </c>
      <c r="G211" t="s">
        <v>123</v>
      </c>
    </row>
    <row r="212" spans="3:7" x14ac:dyDescent="0.2">
      <c r="C212" s="20">
        <v>44726</v>
      </c>
      <c r="D212" s="17" t="s">
        <v>112</v>
      </c>
      <c r="E212" s="19" t="s">
        <v>22</v>
      </c>
      <c r="F212" s="25">
        <v>0.2</v>
      </c>
      <c r="G212" t="s">
        <v>123</v>
      </c>
    </row>
    <row r="213" spans="3:7" x14ac:dyDescent="0.2">
      <c r="C213" s="20">
        <v>44726</v>
      </c>
      <c r="D213" s="17" t="s">
        <v>113</v>
      </c>
      <c r="E213" s="19" t="s">
        <v>22</v>
      </c>
      <c r="F213" s="25">
        <v>0.2</v>
      </c>
      <c r="G213" t="s">
        <v>123</v>
      </c>
    </row>
    <row r="214" spans="3:7" x14ac:dyDescent="0.2">
      <c r="C214" s="20">
        <v>44727</v>
      </c>
      <c r="D214" s="17" t="s">
        <v>109</v>
      </c>
      <c r="E214" s="17" t="s">
        <v>98</v>
      </c>
      <c r="F214" s="25">
        <v>0.2</v>
      </c>
      <c r="G214" t="s">
        <v>149</v>
      </c>
    </row>
    <row r="215" spans="3:7" x14ac:dyDescent="0.2">
      <c r="C215" s="20">
        <v>44727</v>
      </c>
      <c r="D215" s="17" t="s">
        <v>110</v>
      </c>
      <c r="E215" s="17" t="s">
        <v>98</v>
      </c>
      <c r="F215" s="25">
        <v>0.2</v>
      </c>
      <c r="G215" t="s">
        <v>149</v>
      </c>
    </row>
    <row r="216" spans="3:7" x14ac:dyDescent="0.2">
      <c r="C216" s="20">
        <v>44727</v>
      </c>
      <c r="D216" s="17" t="s">
        <v>111</v>
      </c>
      <c r="E216" s="17" t="s">
        <v>98</v>
      </c>
      <c r="F216" s="25">
        <v>0.2</v>
      </c>
      <c r="G216" t="s">
        <v>149</v>
      </c>
    </row>
    <row r="217" spans="3:7" x14ac:dyDescent="0.2">
      <c r="C217" s="20">
        <v>44727</v>
      </c>
      <c r="D217" s="17" t="s">
        <v>112</v>
      </c>
      <c r="E217" s="17" t="s">
        <v>96</v>
      </c>
      <c r="F217" s="26">
        <v>0.3</v>
      </c>
      <c r="G217" t="s">
        <v>150</v>
      </c>
    </row>
    <row r="218" spans="3:7" x14ac:dyDescent="0.2">
      <c r="C218" s="20">
        <v>44727</v>
      </c>
      <c r="D218" s="17" t="s">
        <v>113</v>
      </c>
      <c r="E218" s="17" t="s">
        <v>96</v>
      </c>
      <c r="F218" s="26">
        <v>0.3</v>
      </c>
      <c r="G218" t="s">
        <v>150</v>
      </c>
    </row>
    <row r="219" spans="3:7" x14ac:dyDescent="0.2">
      <c r="C219" s="20">
        <v>44727</v>
      </c>
      <c r="D219" s="17" t="s">
        <v>109</v>
      </c>
      <c r="E219" s="17" t="s">
        <v>32</v>
      </c>
      <c r="F219" s="26">
        <v>0.2</v>
      </c>
      <c r="G219" s="2" t="s">
        <v>92</v>
      </c>
    </row>
    <row r="220" spans="3:7" x14ac:dyDescent="0.2">
      <c r="C220" s="20">
        <v>44728</v>
      </c>
      <c r="D220" s="17" t="s">
        <v>109</v>
      </c>
      <c r="E220" s="17" t="s">
        <v>36</v>
      </c>
      <c r="F220" s="26">
        <v>0.4</v>
      </c>
      <c r="G220" t="s">
        <v>153</v>
      </c>
    </row>
    <row r="221" spans="3:7" x14ac:dyDescent="0.2">
      <c r="C221" s="20">
        <v>44728</v>
      </c>
      <c r="D221" s="17" t="s">
        <v>110</v>
      </c>
      <c r="E221" s="17" t="s">
        <v>36</v>
      </c>
      <c r="F221" s="26">
        <v>0.4</v>
      </c>
      <c r="G221" t="s">
        <v>153</v>
      </c>
    </row>
    <row r="222" spans="3:7" x14ac:dyDescent="0.2">
      <c r="C222" s="20">
        <v>44728</v>
      </c>
      <c r="D222" s="17" t="s">
        <v>111</v>
      </c>
      <c r="E222" s="17" t="s">
        <v>36</v>
      </c>
      <c r="F222" s="26">
        <v>0.4</v>
      </c>
      <c r="G222" t="s">
        <v>153</v>
      </c>
    </row>
    <row r="223" spans="3:7" x14ac:dyDescent="0.2">
      <c r="C223" s="20">
        <v>44728</v>
      </c>
      <c r="D223" s="17" t="s">
        <v>112</v>
      </c>
      <c r="E223" s="17" t="s">
        <v>36</v>
      </c>
      <c r="F223" s="26">
        <v>0.4</v>
      </c>
      <c r="G223" t="s">
        <v>153</v>
      </c>
    </row>
    <row r="224" spans="3:7" x14ac:dyDescent="0.2">
      <c r="C224" s="20">
        <v>44728</v>
      </c>
      <c r="D224" s="17" t="s">
        <v>113</v>
      </c>
      <c r="E224" s="17" t="s">
        <v>36</v>
      </c>
      <c r="F224" s="26">
        <v>0.4</v>
      </c>
      <c r="G224" t="s">
        <v>153</v>
      </c>
    </row>
    <row r="225" spans="3:7" x14ac:dyDescent="0.2">
      <c r="C225" s="20">
        <v>44729</v>
      </c>
      <c r="D225" s="17" t="s">
        <v>112</v>
      </c>
      <c r="E225" s="17" t="s">
        <v>97</v>
      </c>
      <c r="F225" s="26">
        <v>0.4</v>
      </c>
      <c r="G225" t="s">
        <v>154</v>
      </c>
    </row>
    <row r="226" spans="3:7" x14ac:dyDescent="0.2">
      <c r="C226" s="20">
        <v>44729</v>
      </c>
      <c r="D226" s="17" t="s">
        <v>110</v>
      </c>
      <c r="E226" s="17" t="s">
        <v>32</v>
      </c>
      <c r="F226" s="26">
        <v>0.2</v>
      </c>
      <c r="G226" t="s">
        <v>156</v>
      </c>
    </row>
    <row r="227" spans="3:7" x14ac:dyDescent="0.2">
      <c r="C227" s="20">
        <v>44729</v>
      </c>
      <c r="D227" s="17" t="s">
        <v>109</v>
      </c>
      <c r="E227" s="17" t="s">
        <v>32</v>
      </c>
      <c r="F227" s="26">
        <v>0.2</v>
      </c>
      <c r="G227" t="s">
        <v>156</v>
      </c>
    </row>
    <row r="228" spans="3:7" x14ac:dyDescent="0.2">
      <c r="C228" s="20">
        <v>44729</v>
      </c>
      <c r="D228" s="17" t="s">
        <v>113</v>
      </c>
      <c r="E228" s="17" t="s">
        <v>106</v>
      </c>
      <c r="F228" s="26">
        <v>0.2</v>
      </c>
      <c r="G228" t="s">
        <v>157</v>
      </c>
    </row>
    <row r="229" spans="3:7" x14ac:dyDescent="0.2">
      <c r="C229" s="20">
        <v>44729</v>
      </c>
      <c r="D229" s="17" t="s">
        <v>111</v>
      </c>
      <c r="E229" s="17" t="s">
        <v>107</v>
      </c>
      <c r="F229" s="26">
        <v>0.2</v>
      </c>
      <c r="G229" t="s">
        <v>155</v>
      </c>
    </row>
    <row r="230" spans="3:7" x14ac:dyDescent="0.2">
      <c r="C230" s="20">
        <v>44730</v>
      </c>
      <c r="D230" s="17" t="s">
        <v>110</v>
      </c>
      <c r="E230" s="17" t="s">
        <v>108</v>
      </c>
      <c r="F230" s="34">
        <v>0.1</v>
      </c>
      <c r="G230" t="s">
        <v>155</v>
      </c>
    </row>
    <row r="231" spans="3:7" x14ac:dyDescent="0.2">
      <c r="C231" s="20">
        <v>44730</v>
      </c>
      <c r="D231" s="17" t="s">
        <v>109</v>
      </c>
      <c r="E231" s="17" t="s">
        <v>107</v>
      </c>
      <c r="F231" s="34">
        <v>0.2</v>
      </c>
      <c r="G231" t="s">
        <v>159</v>
      </c>
    </row>
    <row r="232" spans="3:7" x14ac:dyDescent="0.2">
      <c r="C232" s="20">
        <v>44730</v>
      </c>
      <c r="D232" s="17" t="s">
        <v>112</v>
      </c>
      <c r="E232" s="17" t="s">
        <v>38</v>
      </c>
      <c r="F232" s="34">
        <v>0.1</v>
      </c>
      <c r="G232" t="s">
        <v>158</v>
      </c>
    </row>
    <row r="233" spans="3:7" x14ac:dyDescent="0.2">
      <c r="C233" s="20">
        <v>44730</v>
      </c>
      <c r="D233" s="17" t="s">
        <v>113</v>
      </c>
      <c r="E233" s="17" t="s">
        <v>38</v>
      </c>
      <c r="F233" s="34">
        <v>0.1</v>
      </c>
      <c r="G233" t="s">
        <v>158</v>
      </c>
    </row>
    <row r="234" spans="3:7" x14ac:dyDescent="0.2">
      <c r="C234" s="20">
        <v>44730</v>
      </c>
      <c r="D234" s="17" t="s">
        <v>111</v>
      </c>
      <c r="E234" s="17" t="s">
        <v>38</v>
      </c>
      <c r="F234" s="34">
        <v>0.1</v>
      </c>
      <c r="G234" t="s">
        <v>158</v>
      </c>
    </row>
    <row r="235" spans="3:7" x14ac:dyDescent="0.2">
      <c r="C235" s="35">
        <v>44731</v>
      </c>
      <c r="D235" s="17" t="s">
        <v>110</v>
      </c>
      <c r="E235" s="17" t="s">
        <v>107</v>
      </c>
      <c r="F235" s="26">
        <v>0.25</v>
      </c>
      <c r="G235" t="s">
        <v>162</v>
      </c>
    </row>
    <row r="236" spans="3:7" x14ac:dyDescent="0.2">
      <c r="C236" s="35">
        <v>44731</v>
      </c>
      <c r="D236" s="17" t="s">
        <v>111</v>
      </c>
      <c r="E236" s="17" t="s">
        <v>107</v>
      </c>
      <c r="F236" s="26">
        <v>0.25</v>
      </c>
      <c r="G236" t="s">
        <v>159</v>
      </c>
    </row>
    <row r="237" spans="3:7" x14ac:dyDescent="0.2">
      <c r="C237" s="35">
        <v>44731</v>
      </c>
      <c r="D237" s="17" t="s">
        <v>113</v>
      </c>
      <c r="E237" s="17" t="s">
        <v>106</v>
      </c>
      <c r="F237" s="26">
        <v>0.2</v>
      </c>
      <c r="G237" t="s">
        <v>161</v>
      </c>
    </row>
    <row r="238" spans="3:7" x14ac:dyDescent="0.2">
      <c r="C238" s="35">
        <v>44731</v>
      </c>
      <c r="D238" s="17" t="s">
        <v>112</v>
      </c>
      <c r="E238" s="17" t="s">
        <v>106</v>
      </c>
      <c r="F238" s="26">
        <v>0.2</v>
      </c>
      <c r="G238" t="s">
        <v>160</v>
      </c>
    </row>
    <row r="239" spans="3:7" x14ac:dyDescent="0.2">
      <c r="C239" s="35">
        <v>44731</v>
      </c>
      <c r="D239" s="17" t="s">
        <v>109</v>
      </c>
      <c r="E239" s="17" t="s">
        <v>100</v>
      </c>
      <c r="F239" s="26">
        <v>0.2</v>
      </c>
      <c r="G239" t="s">
        <v>163</v>
      </c>
    </row>
    <row r="240" spans="3:7" x14ac:dyDescent="0.2">
      <c r="C240" s="20">
        <v>44732</v>
      </c>
      <c r="D240" s="17" t="s">
        <v>110</v>
      </c>
      <c r="E240" s="19" t="s">
        <v>26</v>
      </c>
      <c r="F240" s="26">
        <v>0.2</v>
      </c>
      <c r="G240" t="s">
        <v>164</v>
      </c>
    </row>
    <row r="241" spans="3:7" x14ac:dyDescent="0.2">
      <c r="C241" s="20">
        <v>44732</v>
      </c>
      <c r="D241" s="17" t="s">
        <v>109</v>
      </c>
      <c r="E241" s="19" t="s">
        <v>26</v>
      </c>
      <c r="F241" s="26">
        <v>0.2</v>
      </c>
      <c r="G241" t="s">
        <v>164</v>
      </c>
    </row>
    <row r="242" spans="3:7" x14ac:dyDescent="0.2">
      <c r="C242" s="20">
        <v>44732</v>
      </c>
      <c r="D242" s="17" t="s">
        <v>113</v>
      </c>
      <c r="E242" s="19" t="s">
        <v>26</v>
      </c>
      <c r="F242" s="26">
        <v>0.2</v>
      </c>
      <c r="G242" t="s">
        <v>164</v>
      </c>
    </row>
    <row r="243" spans="3:7" x14ac:dyDescent="0.2">
      <c r="C243" s="20">
        <v>44732</v>
      </c>
      <c r="D243" s="17" t="s">
        <v>111</v>
      </c>
      <c r="E243" s="19" t="s">
        <v>26</v>
      </c>
      <c r="F243" s="26">
        <v>0.2</v>
      </c>
      <c r="G243" t="s">
        <v>164</v>
      </c>
    </row>
    <row r="244" spans="3:7" x14ac:dyDescent="0.2">
      <c r="C244" s="20">
        <v>44732</v>
      </c>
      <c r="D244" s="17" t="s">
        <v>112</v>
      </c>
      <c r="E244" s="19" t="s">
        <v>26</v>
      </c>
      <c r="F244" s="26">
        <v>0.2</v>
      </c>
      <c r="G244" t="s">
        <v>164</v>
      </c>
    </row>
    <row r="245" spans="3:7" x14ac:dyDescent="0.2">
      <c r="C245" s="20">
        <v>44735</v>
      </c>
      <c r="D245" s="17" t="s">
        <v>109</v>
      </c>
      <c r="E245" s="17" t="s">
        <v>30</v>
      </c>
      <c r="F245" s="26">
        <v>0.15</v>
      </c>
      <c r="G245" t="s">
        <v>165</v>
      </c>
    </row>
    <row r="246" spans="3:7" x14ac:dyDescent="0.2">
      <c r="C246" s="20">
        <v>44735</v>
      </c>
      <c r="D246" s="17" t="s">
        <v>110</v>
      </c>
      <c r="E246" s="17" t="s">
        <v>30</v>
      </c>
      <c r="F246" s="26">
        <v>0.1</v>
      </c>
      <c r="G246" t="s">
        <v>165</v>
      </c>
    </row>
    <row r="247" spans="3:7" x14ac:dyDescent="0.2">
      <c r="C247" s="20">
        <v>44735</v>
      </c>
      <c r="D247" s="17" t="s">
        <v>111</v>
      </c>
      <c r="E247" s="17" t="s">
        <v>30</v>
      </c>
      <c r="F247" s="26">
        <v>0.1</v>
      </c>
      <c r="G247" t="s">
        <v>165</v>
      </c>
    </row>
    <row r="248" spans="3:7" x14ac:dyDescent="0.2">
      <c r="C248" s="20">
        <v>44735</v>
      </c>
      <c r="D248" s="17" t="s">
        <v>112</v>
      </c>
      <c r="E248" s="17" t="s">
        <v>30</v>
      </c>
      <c r="F248" s="26">
        <v>0.15</v>
      </c>
      <c r="G248" t="s">
        <v>165</v>
      </c>
    </row>
    <row r="249" spans="3:7" x14ac:dyDescent="0.2">
      <c r="C249" s="20">
        <v>44735</v>
      </c>
      <c r="D249" s="17" t="s">
        <v>113</v>
      </c>
      <c r="E249" s="17" t="s">
        <v>30</v>
      </c>
      <c r="F249" s="26">
        <v>0.1</v>
      </c>
      <c r="G249" t="s">
        <v>165</v>
      </c>
    </row>
    <row r="250" spans="3:7" x14ac:dyDescent="0.2">
      <c r="C250" s="20">
        <v>44735</v>
      </c>
      <c r="D250" s="17" t="s">
        <v>109</v>
      </c>
      <c r="E250" s="17" t="s">
        <v>32</v>
      </c>
      <c r="F250" s="26">
        <v>0.4</v>
      </c>
      <c r="G250" t="s">
        <v>166</v>
      </c>
    </row>
    <row r="251" spans="3:7" x14ac:dyDescent="0.2">
      <c r="C251" s="20">
        <v>44735</v>
      </c>
      <c r="D251" s="17" t="s">
        <v>111</v>
      </c>
      <c r="E251" s="17" t="s">
        <v>36</v>
      </c>
      <c r="F251" s="26">
        <v>0.1</v>
      </c>
      <c r="G251" t="s">
        <v>172</v>
      </c>
    </row>
    <row r="252" spans="3:7" x14ac:dyDescent="0.2">
      <c r="C252" s="20">
        <v>44735</v>
      </c>
      <c r="D252" s="17" t="s">
        <v>109</v>
      </c>
      <c r="E252" s="17" t="s">
        <v>36</v>
      </c>
      <c r="F252" s="26">
        <v>0.1</v>
      </c>
      <c r="G252" t="s">
        <v>172</v>
      </c>
    </row>
    <row r="253" spans="3:7" x14ac:dyDescent="0.2">
      <c r="C253" s="20">
        <v>44735</v>
      </c>
      <c r="D253" s="17" t="s">
        <v>113</v>
      </c>
      <c r="E253" s="17" t="s">
        <v>32</v>
      </c>
      <c r="F253" s="26">
        <v>0.1</v>
      </c>
      <c r="G253" t="s">
        <v>166</v>
      </c>
    </row>
    <row r="254" spans="3:7" x14ac:dyDescent="0.2">
      <c r="C254" s="20">
        <v>44735</v>
      </c>
      <c r="D254" s="17" t="s">
        <v>110</v>
      </c>
      <c r="E254" s="17" t="s">
        <v>100</v>
      </c>
      <c r="F254" s="26">
        <v>0.3</v>
      </c>
      <c r="G254" t="s">
        <v>168</v>
      </c>
    </row>
    <row r="255" spans="3:7" x14ac:dyDescent="0.2">
      <c r="C255" s="20">
        <v>44735</v>
      </c>
      <c r="D255" s="17" t="s">
        <v>110</v>
      </c>
      <c r="E255" s="17" t="s">
        <v>96</v>
      </c>
      <c r="F255" s="26">
        <v>0.2</v>
      </c>
      <c r="G255" t="s">
        <v>167</v>
      </c>
    </row>
    <row r="256" spans="3:7" x14ac:dyDescent="0.2">
      <c r="C256" s="20">
        <v>44736</v>
      </c>
      <c r="D256" s="17" t="s">
        <v>110</v>
      </c>
      <c r="E256" s="17" t="s">
        <v>97</v>
      </c>
      <c r="F256" s="26">
        <v>0.2</v>
      </c>
      <c r="G256" t="s">
        <v>169</v>
      </c>
    </row>
    <row r="257" spans="3:7" x14ac:dyDescent="0.2">
      <c r="C257" s="20">
        <v>44736</v>
      </c>
      <c r="D257" s="17" t="s">
        <v>109</v>
      </c>
      <c r="E257" s="17" t="s">
        <v>97</v>
      </c>
      <c r="F257" s="26">
        <v>0.1</v>
      </c>
      <c r="G257" t="s">
        <v>169</v>
      </c>
    </row>
    <row r="258" spans="3:7" x14ac:dyDescent="0.2">
      <c r="C258" s="20">
        <v>44736</v>
      </c>
      <c r="D258" s="17" t="s">
        <v>112</v>
      </c>
      <c r="E258" s="17" t="s">
        <v>97</v>
      </c>
      <c r="F258" s="26">
        <v>0.1</v>
      </c>
      <c r="G258" t="s">
        <v>169</v>
      </c>
    </row>
    <row r="259" spans="3:7" x14ac:dyDescent="0.2">
      <c r="C259" s="20">
        <v>44736</v>
      </c>
      <c r="D259" s="17" t="s">
        <v>111</v>
      </c>
      <c r="E259" s="17" t="s">
        <v>98</v>
      </c>
      <c r="F259" s="26">
        <v>0.2</v>
      </c>
      <c r="G259" t="s">
        <v>170</v>
      </c>
    </row>
    <row r="260" spans="3:7" x14ac:dyDescent="0.2">
      <c r="C260" s="20">
        <v>44736</v>
      </c>
      <c r="D260" s="17" t="s">
        <v>111</v>
      </c>
      <c r="E260" s="17" t="s">
        <v>96</v>
      </c>
      <c r="F260" s="26">
        <v>0.2</v>
      </c>
      <c r="G260" t="s">
        <v>170</v>
      </c>
    </row>
    <row r="261" spans="3:7" x14ac:dyDescent="0.2">
      <c r="C261" s="20">
        <v>44736</v>
      </c>
      <c r="D261" s="17" t="s">
        <v>112</v>
      </c>
      <c r="E261" s="17" t="s">
        <v>107</v>
      </c>
      <c r="F261" s="26">
        <v>0.4</v>
      </c>
      <c r="G261" t="s">
        <v>171</v>
      </c>
    </row>
    <row r="262" spans="3:7" x14ac:dyDescent="0.2">
      <c r="C262" s="20">
        <v>44737</v>
      </c>
      <c r="D262" s="17" t="s">
        <v>110</v>
      </c>
      <c r="E262" s="17" t="s">
        <v>97</v>
      </c>
      <c r="F262" s="26">
        <v>0.25</v>
      </c>
      <c r="G262" t="s">
        <v>173</v>
      </c>
    </row>
    <row r="263" spans="3:7" x14ac:dyDescent="0.2">
      <c r="C263" s="20">
        <v>44737</v>
      </c>
      <c r="D263" s="17" t="s">
        <v>112</v>
      </c>
      <c r="E263" s="17" t="s">
        <v>107</v>
      </c>
      <c r="F263" s="26">
        <v>0.35</v>
      </c>
      <c r="G263" t="s">
        <v>171</v>
      </c>
    </row>
    <row r="264" spans="3:7" x14ac:dyDescent="0.2">
      <c r="C264" s="20">
        <v>44737</v>
      </c>
      <c r="D264" s="17" t="s">
        <v>109</v>
      </c>
      <c r="E264" s="17" t="s">
        <v>107</v>
      </c>
      <c r="F264" s="26">
        <v>0.2</v>
      </c>
      <c r="G264" t="s">
        <v>171</v>
      </c>
    </row>
    <row r="265" spans="3:7" x14ac:dyDescent="0.2">
      <c r="C265" s="20">
        <v>44737</v>
      </c>
      <c r="D265" s="17" t="s">
        <v>109</v>
      </c>
      <c r="E265" s="17" t="s">
        <v>38</v>
      </c>
      <c r="F265" s="26">
        <v>0.1</v>
      </c>
      <c r="G265" t="s">
        <v>174</v>
      </c>
    </row>
  </sheetData>
  <phoneticPr fontId="17" type="noConversion"/>
  <pageMargins left="0" right="0" top="0.39370078740157483" bottom="0.39370078740157483" header="0" footer="0"/>
  <pageSetup paperSize="9" orientation="portrait" r:id="rId1"/>
  <headerFooter>
    <oddHeader>&amp;C&amp;A</oddHeader>
    <oddFooter>&amp;CPage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3D7EE-4B9F-4D9E-855B-0AA858A6640A}">
  <dimension ref="A1:G22"/>
  <sheetViews>
    <sheetView workbookViewId="0">
      <selection activeCell="I17" sqref="I17"/>
    </sheetView>
  </sheetViews>
  <sheetFormatPr baseColWidth="10" defaultRowHeight="12.75" x14ac:dyDescent="0.2"/>
  <cols>
    <col min="1" max="1" width="21.140625" bestFit="1" customWidth="1"/>
    <col min="2" max="2" width="24" bestFit="1" customWidth="1"/>
    <col min="3" max="3" width="6" bestFit="1" customWidth="1"/>
    <col min="4" max="5" width="5" bestFit="1" customWidth="1"/>
    <col min="6" max="6" width="6" bestFit="1" customWidth="1"/>
    <col min="7" max="7" width="13.140625" bestFit="1" customWidth="1"/>
  </cols>
  <sheetData>
    <row r="1" spans="1:7" x14ac:dyDescent="0.2">
      <c r="A1" s="21" t="s">
        <v>90</v>
      </c>
      <c r="B1" s="21" t="s">
        <v>87</v>
      </c>
    </row>
    <row r="2" spans="1:7" x14ac:dyDescent="0.2">
      <c r="A2" s="21" t="s">
        <v>88</v>
      </c>
      <c r="B2" t="s">
        <v>112</v>
      </c>
      <c r="C2" t="s">
        <v>109</v>
      </c>
      <c r="D2" t="s">
        <v>111</v>
      </c>
      <c r="E2" t="s">
        <v>113</v>
      </c>
      <c r="F2" t="s">
        <v>110</v>
      </c>
      <c r="G2" t="s">
        <v>89</v>
      </c>
    </row>
    <row r="3" spans="1:7" x14ac:dyDescent="0.2">
      <c r="A3" s="2" t="s">
        <v>77</v>
      </c>
      <c r="B3" s="22">
        <v>0.2</v>
      </c>
      <c r="C3" s="22">
        <v>0.2</v>
      </c>
      <c r="D3" s="22">
        <v>0.2</v>
      </c>
      <c r="E3" s="22">
        <v>0.2</v>
      </c>
      <c r="F3" s="22">
        <v>0.2</v>
      </c>
      <c r="G3" s="22">
        <v>1</v>
      </c>
    </row>
    <row r="4" spans="1:7" x14ac:dyDescent="0.2">
      <c r="A4" s="2" t="s">
        <v>97</v>
      </c>
      <c r="B4" s="22">
        <v>0.95</v>
      </c>
      <c r="C4" s="22">
        <v>0.70000000000000007</v>
      </c>
      <c r="D4" s="22">
        <v>1.3000000000000003</v>
      </c>
      <c r="E4" s="22">
        <v>0.44999999999999996</v>
      </c>
      <c r="F4" s="22">
        <v>1.25</v>
      </c>
      <c r="G4" s="22">
        <v>4.6500000000000004</v>
      </c>
    </row>
    <row r="5" spans="1:7" x14ac:dyDescent="0.2">
      <c r="A5" s="2" t="s">
        <v>98</v>
      </c>
      <c r="B5" s="22"/>
      <c r="C5" s="22">
        <v>0.35</v>
      </c>
      <c r="D5" s="22">
        <v>1.9499999999999997</v>
      </c>
      <c r="E5" s="22"/>
      <c r="F5" s="22">
        <v>2.0500000000000003</v>
      </c>
      <c r="G5" s="22">
        <v>4.3499999999999996</v>
      </c>
    </row>
    <row r="6" spans="1:7" x14ac:dyDescent="0.2">
      <c r="A6" s="2" t="s">
        <v>100</v>
      </c>
      <c r="B6" s="22">
        <v>2.1</v>
      </c>
      <c r="C6" s="22">
        <v>1</v>
      </c>
      <c r="D6" s="22"/>
      <c r="E6" s="22">
        <v>0.9</v>
      </c>
      <c r="F6" s="22">
        <v>0.3</v>
      </c>
      <c r="G6" s="22">
        <v>4.3</v>
      </c>
    </row>
    <row r="7" spans="1:7" x14ac:dyDescent="0.2">
      <c r="A7" s="2" t="s">
        <v>99</v>
      </c>
      <c r="B7" s="22"/>
      <c r="C7" s="22"/>
      <c r="D7" s="22">
        <v>0.55000000000000004</v>
      </c>
      <c r="E7" s="22">
        <v>1.05</v>
      </c>
      <c r="F7" s="22">
        <v>0.75000000000000011</v>
      </c>
      <c r="G7" s="22">
        <v>2.35</v>
      </c>
    </row>
    <row r="8" spans="1:7" x14ac:dyDescent="0.2">
      <c r="A8" s="2" t="s">
        <v>96</v>
      </c>
      <c r="B8" s="22">
        <v>0.3</v>
      </c>
      <c r="C8" s="22">
        <v>1.7000000000000002</v>
      </c>
      <c r="D8" s="22">
        <v>0.89999999999999991</v>
      </c>
      <c r="E8" s="22">
        <v>0.3</v>
      </c>
      <c r="F8" s="22">
        <v>0.89999999999999991</v>
      </c>
      <c r="G8" s="22">
        <v>4.0999999999999996</v>
      </c>
    </row>
    <row r="9" spans="1:7" x14ac:dyDescent="0.2">
      <c r="A9" s="2" t="s">
        <v>42</v>
      </c>
      <c r="B9" s="22">
        <v>0.4</v>
      </c>
      <c r="C9" s="22">
        <v>0.60000000000000009</v>
      </c>
      <c r="D9" s="22">
        <v>0.4</v>
      </c>
      <c r="E9" s="22">
        <v>0.4</v>
      </c>
      <c r="F9" s="22">
        <v>0.4</v>
      </c>
      <c r="G9" s="22">
        <v>2.1999999999999997</v>
      </c>
    </row>
    <row r="10" spans="1:7" x14ac:dyDescent="0.2">
      <c r="A10" s="2" t="s">
        <v>36</v>
      </c>
      <c r="B10" s="22">
        <v>0.4</v>
      </c>
      <c r="C10" s="22">
        <v>0.9</v>
      </c>
      <c r="D10" s="22">
        <v>0.5</v>
      </c>
      <c r="E10" s="22">
        <v>0.4</v>
      </c>
      <c r="F10" s="22">
        <v>0.4</v>
      </c>
      <c r="G10" s="22">
        <v>2.6</v>
      </c>
    </row>
    <row r="11" spans="1:7" x14ac:dyDescent="0.2">
      <c r="A11" s="2" t="s">
        <v>38</v>
      </c>
      <c r="B11" s="22">
        <v>0.1</v>
      </c>
      <c r="C11" s="22">
        <v>0.6</v>
      </c>
      <c r="D11" s="22">
        <v>0.1</v>
      </c>
      <c r="E11" s="22">
        <v>0.1</v>
      </c>
      <c r="F11" s="22"/>
      <c r="G11" s="22">
        <v>0.89999999999999991</v>
      </c>
    </row>
    <row r="12" spans="1:7" x14ac:dyDescent="0.2">
      <c r="A12" s="2" t="s">
        <v>20</v>
      </c>
      <c r="B12" s="22">
        <v>0.8</v>
      </c>
      <c r="C12" s="22">
        <v>0.8</v>
      </c>
      <c r="D12" s="22">
        <v>0.8</v>
      </c>
      <c r="E12" s="22">
        <v>0.8</v>
      </c>
      <c r="F12" s="22">
        <v>0.8</v>
      </c>
      <c r="G12" s="22">
        <v>4</v>
      </c>
    </row>
    <row r="13" spans="1:7" x14ac:dyDescent="0.2">
      <c r="A13" s="2" t="s">
        <v>22</v>
      </c>
      <c r="B13" s="22">
        <v>1.2</v>
      </c>
      <c r="C13" s="22">
        <v>1.2</v>
      </c>
      <c r="D13" s="22">
        <v>1.2</v>
      </c>
      <c r="E13" s="22">
        <v>1.2</v>
      </c>
      <c r="F13" s="22">
        <v>1.2</v>
      </c>
      <c r="G13" s="22">
        <v>6</v>
      </c>
    </row>
    <row r="14" spans="1:7" x14ac:dyDescent="0.2">
      <c r="A14" s="2" t="s">
        <v>24</v>
      </c>
      <c r="B14" s="22">
        <v>0.4</v>
      </c>
      <c r="C14" s="22">
        <v>0.4</v>
      </c>
      <c r="D14" s="22">
        <v>0.4</v>
      </c>
      <c r="E14" s="22">
        <v>0.4</v>
      </c>
      <c r="F14" s="22">
        <v>0.4</v>
      </c>
      <c r="G14" s="22">
        <v>2</v>
      </c>
    </row>
    <row r="15" spans="1:7" x14ac:dyDescent="0.2">
      <c r="A15" s="2" t="s">
        <v>26</v>
      </c>
      <c r="B15" s="22">
        <v>0.8</v>
      </c>
      <c r="C15" s="22">
        <v>0.8</v>
      </c>
      <c r="D15" s="22">
        <v>0.8</v>
      </c>
      <c r="E15" s="22">
        <v>0.8</v>
      </c>
      <c r="F15" s="22">
        <v>0.8</v>
      </c>
      <c r="G15" s="22">
        <v>4</v>
      </c>
    </row>
    <row r="16" spans="1:7" x14ac:dyDescent="0.2">
      <c r="A16" s="2" t="s">
        <v>28</v>
      </c>
      <c r="B16" s="22"/>
      <c r="C16" s="22">
        <v>0.5</v>
      </c>
      <c r="D16" s="22"/>
      <c r="E16" s="22"/>
      <c r="F16" s="22"/>
      <c r="G16" s="22">
        <v>0.5</v>
      </c>
    </row>
    <row r="17" spans="1:7" x14ac:dyDescent="0.2">
      <c r="A17" s="2" t="s">
        <v>30</v>
      </c>
      <c r="B17" s="22">
        <v>1.65</v>
      </c>
      <c r="C17" s="22">
        <v>1.8499999999999999</v>
      </c>
      <c r="D17" s="22">
        <v>1.5</v>
      </c>
      <c r="E17" s="22">
        <v>1.3</v>
      </c>
      <c r="F17" s="22">
        <v>1.7</v>
      </c>
      <c r="G17" s="22">
        <v>8</v>
      </c>
    </row>
    <row r="18" spans="1:7" x14ac:dyDescent="0.2">
      <c r="A18" s="2" t="s">
        <v>32</v>
      </c>
      <c r="B18" s="22">
        <v>0.15</v>
      </c>
      <c r="C18" s="22">
        <v>1.35</v>
      </c>
      <c r="D18" s="22">
        <v>0.15</v>
      </c>
      <c r="E18" s="22">
        <v>0.5</v>
      </c>
      <c r="F18" s="22">
        <v>0.35</v>
      </c>
      <c r="G18" s="22">
        <v>2.5</v>
      </c>
    </row>
    <row r="19" spans="1:7" x14ac:dyDescent="0.2">
      <c r="A19" s="2" t="s">
        <v>108</v>
      </c>
      <c r="B19" s="22"/>
      <c r="C19" s="22">
        <v>0.2</v>
      </c>
      <c r="D19" s="22"/>
      <c r="E19" s="22"/>
      <c r="F19" s="22">
        <v>0.30000000000000004</v>
      </c>
      <c r="G19" s="22">
        <v>0.5</v>
      </c>
    </row>
    <row r="20" spans="1:7" x14ac:dyDescent="0.2">
      <c r="A20" s="2" t="s">
        <v>107</v>
      </c>
      <c r="B20" s="22">
        <v>0.75</v>
      </c>
      <c r="C20" s="22">
        <v>1.5999999999999999</v>
      </c>
      <c r="D20" s="22">
        <v>0.45</v>
      </c>
      <c r="E20" s="22"/>
      <c r="F20" s="22">
        <v>0.25</v>
      </c>
      <c r="G20" s="22">
        <v>3.05</v>
      </c>
    </row>
    <row r="21" spans="1:7" x14ac:dyDescent="0.2">
      <c r="A21" s="2" t="s">
        <v>106</v>
      </c>
      <c r="B21" s="22">
        <v>0.8</v>
      </c>
      <c r="C21" s="22"/>
      <c r="D21" s="22"/>
      <c r="E21" s="22">
        <v>1</v>
      </c>
      <c r="F21" s="22"/>
      <c r="G21" s="22">
        <v>1.8</v>
      </c>
    </row>
    <row r="22" spans="1:7" x14ac:dyDescent="0.2">
      <c r="A22" s="2" t="s">
        <v>89</v>
      </c>
      <c r="B22" s="22">
        <v>11</v>
      </c>
      <c r="C22" s="22">
        <v>14.75</v>
      </c>
      <c r="D22" s="22">
        <v>11.200000000000001</v>
      </c>
      <c r="E22" s="22">
        <v>9.8000000000000007</v>
      </c>
      <c r="F22" s="22">
        <v>12.05</v>
      </c>
      <c r="G22" s="22">
        <v>58.8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Project</vt:lpstr>
      <vt:lpstr>History_Scrabblid</vt:lpstr>
      <vt:lpstr>Tableau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NORTIER Hugo</dc:creator>
  <cp:lastModifiedBy>NORTIER Hugo</cp:lastModifiedBy>
  <cp:revision>23</cp:revision>
  <cp:lastPrinted>2022-06-07T19:39:08Z</cp:lastPrinted>
  <dcterms:created xsi:type="dcterms:W3CDTF">2022-04-27T10:21:43Z</dcterms:created>
  <dcterms:modified xsi:type="dcterms:W3CDTF">2022-06-24T20:56:10Z</dcterms:modified>
</cp:coreProperties>
</file>